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D9729C1D-DA09-8846-B2E7-7D7A7C6ABE99}" xr6:coauthVersionLast="47" xr6:coauthVersionMax="47" xr10:uidLastSave="{00000000-0000-0000-0000-000000000000}"/>
  <bookViews>
    <workbookView xWindow="0" yWindow="660" windowWidth="30240" windowHeight="18980" tabRatio="500" activeTab="4" xr2:uid="{00000000-000D-0000-FFFF-FFFF00000000}"/>
  </bookViews>
  <sheets>
    <sheet name="Overview" sheetId="1" r:id="rId1"/>
    <sheet name="All Runs" sheetId="2" r:id="rId2"/>
    <sheet name="12-pair Grids" sheetId="3" r:id="rId3"/>
    <sheet name="S1000D Target" sheetId="4" r:id="rId4"/>
    <sheet name="Same Domain" sheetId="6" r:id="rId5"/>
  </sheets>
  <definedNames>
    <definedName name="_xlnm._FilterDatabase" localSheetId="1" hidden="1">'All Runs'!$A$1:$S$177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" i="6" l="1"/>
  <c r="M8" i="6"/>
  <c r="G8" i="6"/>
  <c r="F8" i="6"/>
  <c r="H8" i="6" s="1"/>
  <c r="E8" i="6"/>
  <c r="I8" i="6" s="1"/>
  <c r="D8" i="6"/>
  <c r="J8" i="6" s="1"/>
  <c r="N7" i="6"/>
  <c r="M7" i="6"/>
  <c r="G7" i="6"/>
  <c r="I7" i="6" s="1"/>
  <c r="F7" i="6"/>
  <c r="F10" i="6" s="1"/>
  <c r="E7" i="6"/>
  <c r="D7" i="6"/>
  <c r="J7" i="6" s="1"/>
  <c r="N6" i="6"/>
  <c r="M6" i="6"/>
  <c r="J6" i="6"/>
  <c r="L6" i="6" s="1"/>
  <c r="I6" i="6"/>
  <c r="G6" i="6"/>
  <c r="F6" i="6"/>
  <c r="H6" i="6" s="1"/>
  <c r="E6" i="6"/>
  <c r="D6" i="6"/>
  <c r="N5" i="6"/>
  <c r="N10" i="6" s="1"/>
  <c r="M5" i="6"/>
  <c r="M10" i="6" s="1"/>
  <c r="G5" i="6"/>
  <c r="G9" i="6" s="1"/>
  <c r="F5" i="6"/>
  <c r="F9" i="6" s="1"/>
  <c r="E5" i="6"/>
  <c r="E10" i="6" s="1"/>
  <c r="D5" i="6"/>
  <c r="D10" i="6" s="1"/>
  <c r="F29" i="4"/>
  <c r="E29" i="4"/>
  <c r="F28" i="4"/>
  <c r="E28" i="4"/>
  <c r="F27" i="4"/>
  <c r="E27" i="4"/>
  <c r="G34" i="4" s="1"/>
  <c r="F26" i="4"/>
  <c r="E26" i="4"/>
  <c r="F25" i="4"/>
  <c r="E25" i="4"/>
  <c r="F24" i="4"/>
  <c r="E24" i="4"/>
  <c r="F23" i="4"/>
  <c r="E23" i="4"/>
  <c r="G33" i="4" s="1"/>
  <c r="F22" i="4"/>
  <c r="E22" i="4"/>
  <c r="J18" i="4"/>
  <c r="G18" i="4"/>
  <c r="F18" i="4"/>
  <c r="E18" i="4"/>
  <c r="I18" i="4" s="1"/>
  <c r="J17" i="4"/>
  <c r="G17" i="4"/>
  <c r="F17" i="4"/>
  <c r="H17" i="4" s="1"/>
  <c r="E17" i="4"/>
  <c r="J16" i="4"/>
  <c r="G16" i="4"/>
  <c r="F16" i="4"/>
  <c r="I16" i="4" s="1"/>
  <c r="E16" i="4"/>
  <c r="J15" i="4"/>
  <c r="G15" i="4"/>
  <c r="F15" i="4"/>
  <c r="E15" i="4"/>
  <c r="J14" i="4"/>
  <c r="G14" i="4"/>
  <c r="F14" i="4"/>
  <c r="E14" i="4"/>
  <c r="J13" i="4"/>
  <c r="G13" i="4"/>
  <c r="F13" i="4"/>
  <c r="I13" i="4" s="1"/>
  <c r="E13" i="4"/>
  <c r="J12" i="4"/>
  <c r="G12" i="4"/>
  <c r="F12" i="4"/>
  <c r="E12" i="4"/>
  <c r="J11" i="4"/>
  <c r="G11" i="4"/>
  <c r="F11" i="4"/>
  <c r="E11" i="4"/>
  <c r="J10" i="4"/>
  <c r="G10" i="4"/>
  <c r="F10" i="4"/>
  <c r="E10" i="4"/>
  <c r="J9" i="4"/>
  <c r="H9" i="4"/>
  <c r="C41" i="4" s="1"/>
  <c r="G9" i="4"/>
  <c r="F9" i="4"/>
  <c r="E9" i="4"/>
  <c r="I9" i="4" s="1"/>
  <c r="J8" i="4"/>
  <c r="G8" i="4"/>
  <c r="F8" i="4"/>
  <c r="I8" i="4" s="1"/>
  <c r="E8" i="4"/>
  <c r="J7" i="4"/>
  <c r="G7" i="4"/>
  <c r="F7" i="4"/>
  <c r="E7" i="4"/>
  <c r="J6" i="4"/>
  <c r="G6" i="4"/>
  <c r="F6" i="4"/>
  <c r="E6" i="4"/>
  <c r="J5" i="4"/>
  <c r="G5" i="4"/>
  <c r="F5" i="4"/>
  <c r="H5" i="4" s="1"/>
  <c r="E5" i="4"/>
  <c r="I5" i="4" s="1"/>
  <c r="E52" i="3"/>
  <c r="D52" i="3"/>
  <c r="C52" i="3"/>
  <c r="B52" i="3"/>
  <c r="E51" i="3"/>
  <c r="E53" i="3" s="1"/>
  <c r="D51" i="3"/>
  <c r="C51" i="3"/>
  <c r="B51" i="3"/>
  <c r="E50" i="3"/>
  <c r="D50" i="3"/>
  <c r="D53" i="3" s="1"/>
  <c r="C50" i="3"/>
  <c r="B50" i="3"/>
  <c r="F44" i="3"/>
  <c r="D44" i="3"/>
  <c r="C44" i="3"/>
  <c r="B44" i="3"/>
  <c r="E43" i="3"/>
  <c r="C43" i="3"/>
  <c r="B43" i="3"/>
  <c r="E42" i="3"/>
  <c r="F42" i="3" s="1"/>
  <c r="D42" i="3"/>
  <c r="B42" i="3"/>
  <c r="E41" i="3"/>
  <c r="D41" i="3"/>
  <c r="C41" i="3"/>
  <c r="D35" i="3"/>
  <c r="C35" i="3"/>
  <c r="F35" i="3" s="1"/>
  <c r="B35" i="3"/>
  <c r="E34" i="3"/>
  <c r="C34" i="3"/>
  <c r="B34" i="3"/>
  <c r="F34" i="3" s="1"/>
  <c r="E33" i="3"/>
  <c r="D33" i="3"/>
  <c r="B33" i="3"/>
  <c r="F33" i="3" s="1"/>
  <c r="E32" i="3"/>
  <c r="D32" i="3"/>
  <c r="C32" i="3"/>
  <c r="D26" i="3"/>
  <c r="C26" i="3"/>
  <c r="B26" i="3"/>
  <c r="F26" i="3" s="1"/>
  <c r="E25" i="3"/>
  <c r="C25" i="3"/>
  <c r="B25" i="3"/>
  <c r="E24" i="3"/>
  <c r="F24" i="3" s="1"/>
  <c r="D24" i="3"/>
  <c r="B24" i="3"/>
  <c r="E23" i="3"/>
  <c r="D23" i="3"/>
  <c r="C23" i="3"/>
  <c r="D17" i="3"/>
  <c r="C17" i="3"/>
  <c r="F17" i="3" s="1"/>
  <c r="B17" i="3"/>
  <c r="E16" i="3"/>
  <c r="C16" i="3"/>
  <c r="B16" i="3"/>
  <c r="F16" i="3" s="1"/>
  <c r="E15" i="3"/>
  <c r="D15" i="3"/>
  <c r="B15" i="3"/>
  <c r="F15" i="3" s="1"/>
  <c r="E14" i="3"/>
  <c r="D14" i="3"/>
  <c r="C14" i="3"/>
  <c r="F14" i="3" s="1"/>
  <c r="F8" i="3"/>
  <c r="D8" i="3"/>
  <c r="C8" i="3"/>
  <c r="B8" i="3"/>
  <c r="E7" i="3"/>
  <c r="C7" i="3"/>
  <c r="B7" i="3"/>
  <c r="E6" i="3"/>
  <c r="D6" i="3"/>
  <c r="B6" i="3"/>
  <c r="F6" i="3" s="1"/>
  <c r="E5" i="3"/>
  <c r="D5" i="3"/>
  <c r="C5" i="3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F7" i="3" l="1"/>
  <c r="F43" i="3"/>
  <c r="C53" i="3"/>
  <c r="B54" i="3"/>
  <c r="F5" i="3"/>
  <c r="F41" i="3"/>
  <c r="E54" i="3"/>
  <c r="F32" i="3"/>
  <c r="F25" i="3"/>
  <c r="F23" i="3"/>
  <c r="C33" i="4"/>
  <c r="I7" i="4"/>
  <c r="I14" i="4"/>
  <c r="C34" i="4"/>
  <c r="I17" i="4"/>
  <c r="B33" i="4"/>
  <c r="I6" i="4"/>
  <c r="I15" i="4"/>
  <c r="H13" i="4"/>
  <c r="I10" i="4"/>
  <c r="K8" i="6"/>
  <c r="L8" i="6"/>
  <c r="L7" i="6"/>
  <c r="K7" i="6"/>
  <c r="K6" i="6"/>
  <c r="H7" i="6"/>
  <c r="D33" i="4"/>
  <c r="E34" i="4"/>
  <c r="G10" i="6"/>
  <c r="E33" i="4"/>
  <c r="F34" i="4"/>
  <c r="F33" i="4"/>
  <c r="D34" i="4"/>
  <c r="H5" i="6"/>
  <c r="D9" i="6"/>
  <c r="M9" i="6"/>
  <c r="D54" i="3"/>
  <c r="I12" i="4"/>
  <c r="H7" i="4"/>
  <c r="H11" i="4"/>
  <c r="H15" i="4"/>
  <c r="C40" i="4" s="1"/>
  <c r="B53" i="3"/>
  <c r="I11" i="4"/>
  <c r="I5" i="6"/>
  <c r="E9" i="6"/>
  <c r="N9" i="6"/>
  <c r="H8" i="4"/>
  <c r="C43" i="4" s="1"/>
  <c r="H12" i="4"/>
  <c r="B34" i="4"/>
  <c r="J5" i="6"/>
  <c r="C54" i="3"/>
  <c r="H16" i="4"/>
  <c r="H6" i="4"/>
  <c r="H10" i="4"/>
  <c r="C42" i="4" s="1"/>
  <c r="H14" i="4"/>
  <c r="C39" i="4" s="1"/>
  <c r="H18" i="4"/>
  <c r="B42" i="4" l="1"/>
  <c r="B39" i="4"/>
  <c r="B40" i="4"/>
  <c r="D40" i="4" s="1"/>
  <c r="B41" i="4"/>
  <c r="D41" i="4" s="1"/>
  <c r="B43" i="4"/>
  <c r="D39" i="4"/>
  <c r="D43" i="4"/>
  <c r="D42" i="4"/>
  <c r="I11" i="6"/>
  <c r="I9" i="6"/>
  <c r="I10" i="6"/>
  <c r="K5" i="6"/>
  <c r="L5" i="6"/>
  <c r="H11" i="6"/>
  <c r="H9" i="6"/>
  <c r="H10" i="6"/>
  <c r="H34" i="4"/>
  <c r="H33" i="4"/>
  <c r="L10" i="6" l="1"/>
  <c r="L11" i="6"/>
  <c r="L9" i="6"/>
  <c r="K10" i="6"/>
  <c r="K11" i="6"/>
  <c r="K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P1" authorId="0" shapeId="0" xr:uid="{00000000-0006-0000-0100-000001000000}">
      <text>
        <r>
          <rPr>
            <sz val="10"/>
            <rFont val="Arial"/>
            <family val="2"/>
          </rPr>
          <t>Chance MRR = H(n)/n for n candidate docs (random ordering). S1000D 21 docs 0.1736, BIKE_7 6 docs 0.4083, s1kd-tools-doc 3 docs 0.6111, FOSSIG 2 docs 0.7500, 332-doc pool 0.0192.</t>
        </r>
      </text>
    </comment>
  </commentList>
</comments>
</file>

<file path=xl/sharedStrings.xml><?xml version="1.0" encoding="utf-8"?>
<sst xmlns="http://schemas.openxmlformats.org/spreadsheetml/2006/main" count="2247" uniqueCount="591">
  <si>
    <t>SANTA S1000D retrieval experiments: results summary</t>
  </si>
  <si>
    <t>Built from every results/**/*.json in the working tree on 2026-09-23 (plus superseded runs read from git HEAD 38dbabb). Metric: MRR. Only the S1000D_spec_sample target (21 test docs) is informative; the other targets have 2-6 test docs.</t>
  </si>
  <si>
    <t>Sheets</t>
  </si>
  <si>
    <t>All Runs</t>
  </si>
  <si>
    <t>One row per run: every JSON result file, with config, dev/test MRR, chance level and source path. Filterable.</t>
  </si>
  <si>
    <t>12-pair Grids</t>
  </si>
  <si>
    <t>Pretrain source x finetune target test-MRR grids (T5, CodeT5, CodeT5 p1024, config A p1024/p2048) plus no-pretrain rows.</t>
  </si>
  <si>
    <t>S1000D Target</t>
  </si>
  <si>
    <t>All configs finetuned on S1000D_spec_sample (21 test docs): pooling fix, ablations, anonymized queries, no-pretrain controls.</t>
  </si>
  <si>
    <t>Same Domain</t>
  </si>
  <si>
    <t>Pretrain/finetune on the two halves of S1000D's own train split; pretraining gain on the harder vs. easier half.</t>
  </si>
  <si>
    <t>Superseded</t>
  </si>
  <si>
    <t>Experiment catalog</t>
  </si>
  <si>
    <t>Group</t>
  </si>
  <si>
    <t>Question</t>
  </si>
  <si>
    <t>Folders</t>
  </si>
  <si>
    <t>Status</t>
  </si>
  <si>
    <t>Key result</t>
  </si>
  <si>
    <t>01_baselines</t>
  </si>
  <si>
    <t>Do T5 / CodeT5 / longer passages work out of the box?</t>
  </si>
  <si>
    <t>t5_s42, codet5_s42, cnt_p256_s42, cnt_p1024_s42</t>
  </si>
  <si>
    <t>Valid</t>
  </si>
  <si>
    <t>Everything at chance. Cause: first-token decoder pooling collapses all embeddings (doc-doc cosine 1.000).</t>
  </si>
  <si>
    <t>02_pooling_fix</t>
  </si>
  <si>
    <t>Does mean pooling (+ cosine) fix the collapse? Does pretraining help?</t>
  </si>
  <si>
    <t>fixA/B/C, nopre_meancos_s{42,1,2,3,4}</t>
  </si>
  <si>
    <t>Mean+cosine: 0.90-0.93 on S1000D. No-pretrain control is as good or better: no pretraining benefit.</t>
  </si>
  <si>
    <t>Config A on the small targets</t>
  </si>
  <si>
    <t>allA_meancos_p{1024,2048}_s42, nopreAll_meancos_s{42,1,2}</t>
  </si>
  <si>
    <t>Undocumented</t>
  </si>
  <si>
    <t>Not in results/README.md. 2-6 test docs per target: too noisy to conclude.</t>
  </si>
  <si>
    <t>03_query_leakage</t>
  </si>
  <si>
    <t>Are the queries too easy because they quote identifiers?</t>
  </si>
  <si>
    <t>anonq_meancos_s{42,1,2}, anonq_nopre_s{42,1,2}</t>
  </si>
  <si>
    <t>BM25 still 0.976 on anonymized queries. Dense drops to ~0.87. Still no pretraining benefit.</t>
  </si>
  <si>
    <t>stage0_tmp_s42</t>
  </si>
  <si>
    <t>Questionable</t>
  </si>
  <si>
    <t>04_pool_size</t>
  </si>
  <si>
    <t>Is the 21-doc pool what makes BM25 unbeatable?</t>
  </si>
  <si>
    <t>pool332, pool332_{orig,anon}[_nopre]_s42</t>
  </si>
  <si>
    <t>Yes. On 332 docs BM25 falls to ~0.12, dense ~0.50-0.66: dense clearly wins. Still no pretraining benefit (1 seed).</t>
  </si>
  <si>
    <t>05_pretrain_diagnosis</t>
  </si>
  <si>
    <t>Is MEP loss or too few pretrain steps the reason pretraining doesn't help?</t>
  </si>
  <si>
    <t>mepablate_s42, longpretrain100_s42</t>
  </si>
  <si>
    <t>Neither. MEP off and 10x epochs both leave test MRR roughly unchanged.</t>
  </si>
  <si>
    <t>06_same_domain</t>
  </si>
  <si>
    <t>Does pretraining help when pretrain and finetune share content?</t>
  </si>
  <si>
    <t>samedomain_s{42,1,2}, samedomain_alt_s42</t>
  </si>
  <si>
    <t>Yes, on the harder half: +0.06 to +0.13 in every run. Easier half: ~0 to +0.04.</t>
  </si>
  <si>
    <t>Reference numbers (hardcoded, not in the JSON files)</t>
  </si>
  <si>
    <t>Quantity</t>
  </si>
  <si>
    <t>Value</t>
  </si>
  <si>
    <t>Source</t>
  </si>
  <si>
    <t>BM25, 21-doc pool, original queries</t>
  </si>
  <si>
    <t>santa/diagnostics/bm25_baseline.py; results/README.md</t>
  </si>
  <si>
    <t>BM25, 21-doc pool, anonymized queries</t>
  </si>
  <si>
    <t>bm25_baseline.py on retrieval_anonq; results/README.md</t>
  </si>
  <si>
    <t>Chance MRR, 21 docs (S1000D test)</t>
  </si>
  <si>
    <t>H(21)/21</t>
  </si>
  <si>
    <t>Chance MRR, 6 docs (BIKE_7 test)</t>
  </si>
  <si>
    <t>H(6)/6</t>
  </si>
  <si>
    <t>Chance MRR, 3 docs (s1kd-tools-doc test)</t>
  </si>
  <si>
    <t>H(3)/3</t>
  </si>
  <si>
    <t>Chance MRR, 2 docs (FOSSIG test)</t>
  </si>
  <si>
    <t>H(2)/2</t>
  </si>
  <si>
    <t>Legend</t>
  </si>
  <si>
    <t>Blue text</t>
  </si>
  <si>
    <t>Hardcoded value (reference numbers above, taken from results/README.md / diagnostics).</t>
  </si>
  <si>
    <t>Black text</t>
  </si>
  <si>
    <t>Values read from JSON (All Runs) or formulas pulling from All Runs.</t>
  </si>
  <si>
    <t>Green / red fill</t>
  </si>
  <si>
    <t>Test - chance &gt; 0.05 (green); within +/-0.02 of chance (red, i.e. collapsed).</t>
  </si>
  <si>
    <t>Status fill</t>
  </si>
  <si>
    <t>Yellow = undocumented; red = questionable / superseded.</t>
  </si>
  <si>
    <t>Key</t>
  </si>
  <si>
    <t>Experiment tag</t>
  </si>
  <si>
    <t>Seed</t>
  </si>
  <si>
    <t>Pretrain source</t>
  </si>
  <si>
    <t>Finetune target</t>
  </si>
  <si>
    <t>Model</t>
  </si>
  <si>
    <t>Pooling / scoring</t>
  </si>
  <si>
    <t>p_max_len</t>
  </si>
  <si>
    <t>Query set</t>
  </si>
  <si>
    <t>Candidate docs</t>
  </si>
  <si>
    <t>Pretrain dev MRR</t>
  </si>
  <si>
    <t>Finetune dev MRR</t>
  </si>
  <si>
    <t>Test MRR</t>
  </si>
  <si>
    <t>Chance MRR</t>
  </si>
  <si>
    <t>Test - chance</t>
  </si>
  <si>
    <t>Notes</t>
  </si>
  <si>
    <t>Source file</t>
  </si>
  <si>
    <t>cnt_p1024_s42|BIKE_7_to_FOSSIG</t>
  </si>
  <si>
    <t>cnt_p1024_s42</t>
  </si>
  <si>
    <t>BIKE_7</t>
  </si>
  <si>
    <t>FOSSIG</t>
  </si>
  <si>
    <t>codet5-base</t>
  </si>
  <si>
    <t>first-token decoder state, dot</t>
  </si>
  <si>
    <t>original</t>
  </si>
  <si>
    <t>Embedding collapse -&gt; chance</t>
  </si>
  <si>
    <t>results/01_baselines/cnt_p1024_s42/BIKE_7_to_FOSSIG/eval_test.json</t>
  </si>
  <si>
    <t>cnt_p1024_s42|BIKE_7_to_S1000D_spec_sample</t>
  </si>
  <si>
    <t>S1000D_spec_sample</t>
  </si>
  <si>
    <t>results/01_baselines/cnt_p1024_s42/BIKE_7_to_S1000D_spec_sample/eval_test.json</t>
  </si>
  <si>
    <t>cnt_p1024_s42|BIKE_7_to_s1kd-tools-doc</t>
  </si>
  <si>
    <t>s1kd-tools-doc</t>
  </si>
  <si>
    <t>results/01_baselines/cnt_p1024_s42/BIKE_7_to_s1kd-tools-doc/eval_test.json</t>
  </si>
  <si>
    <t>cnt_p1024_s42|FOSSIG_to_BIKE_7</t>
  </si>
  <si>
    <t>results/01_baselines/cnt_p1024_s42/FOSSIG_to_BIKE_7/eval_test.json</t>
  </si>
  <si>
    <t>cnt_p1024_s42|FOSSIG_to_S1000D_spec_sample</t>
  </si>
  <si>
    <t>results/01_baselines/cnt_p1024_s42/FOSSIG_to_S1000D_spec_sample/eval_test.json</t>
  </si>
  <si>
    <t>cnt_p1024_s42|FOSSIG_to_s1kd-tools-doc</t>
  </si>
  <si>
    <t>results/01_baselines/cnt_p1024_s42/FOSSIG_to_s1kd-tools-doc/eval_test.json</t>
  </si>
  <si>
    <t>cnt_p1024_s42|S1000D_spec_sample_to_BIKE_7</t>
  </si>
  <si>
    <t>results/01_baselines/cnt_p1024_s42/S1000D_spec_sample_to_BIKE_7/eval_test.json</t>
  </si>
  <si>
    <t>cnt_p1024_s42|S1000D_spec_sample_to_FOSSIG</t>
  </si>
  <si>
    <t>results/01_baselines/cnt_p1024_s42/S1000D_spec_sample_to_FOSSIG/eval_test.json</t>
  </si>
  <si>
    <t>cnt_p1024_s42|S1000D_spec_sample_to_s1kd-tools-doc</t>
  </si>
  <si>
    <t>results/01_baselines/cnt_p1024_s42/S1000D_spec_sample_to_s1kd-tools-doc/eval_test.json</t>
  </si>
  <si>
    <t>cnt_p1024_s42|s1kd-tools-doc_to_BIKE_7</t>
  </si>
  <si>
    <t>results/01_baselines/cnt_p1024_s42/s1kd-tools-doc_to_BIKE_7/eval_test.json</t>
  </si>
  <si>
    <t>cnt_p1024_s42|s1kd-tools-doc_to_FOSSIG</t>
  </si>
  <si>
    <t>results/01_baselines/cnt_p1024_s42/s1kd-tools-doc_to_FOSSIG/eval_test.json</t>
  </si>
  <si>
    <t>cnt_p1024_s42|s1kd-tools-doc_to_S1000D_spec_sample</t>
  </si>
  <si>
    <t>results/01_baselines/cnt_p1024_s42/s1kd-tools-doc_to_S1000D_spec_sample/eval_test.json</t>
  </si>
  <si>
    <t>cnt_p256_s42|BIKE_7_to_S1000D_spec_sample</t>
  </si>
  <si>
    <t>cnt_p256_s42</t>
  </si>
  <si>
    <t>results/01_baselines/cnt_p256_s42/BIKE_7_to_S1000D_spec_sample/eval_test.json</t>
  </si>
  <si>
    <t>cnt_p256_s42|FOSSIG_to_S1000D_spec_sample</t>
  </si>
  <si>
    <t>results/01_baselines/cnt_p256_s42/FOSSIG_to_S1000D_spec_sample/eval_test.json</t>
  </si>
  <si>
    <t>cnt_p256_s42|s1kd-tools-doc_to_S1000D_spec_sample</t>
  </si>
  <si>
    <t>results/01_baselines/cnt_p256_s42/s1kd-tools-doc_to_S1000D_spec_sample/eval_test.json</t>
  </si>
  <si>
    <t>codet5_s42|BIKE_7_to_FOSSIG</t>
  </si>
  <si>
    <t>codet5_s42</t>
  </si>
  <si>
    <t>results/01_baselines/codet5_s42/BIKE_7_to_FOSSIG/eval_test.json</t>
  </si>
  <si>
    <t>codet5_s42|BIKE_7_to_S1000D_spec_sample</t>
  </si>
  <si>
    <t>results/01_baselines/codet5_s42/BIKE_7_to_S1000D_spec_sample/eval_test.json</t>
  </si>
  <si>
    <t>codet5_s42|BIKE_7_to_s1kd-tools-doc</t>
  </si>
  <si>
    <t>results/01_baselines/codet5_s42/BIKE_7_to_s1kd-tools-doc/eval_test.json</t>
  </si>
  <si>
    <t>codet5_s42|FOSSIG_to_BIKE_7</t>
  </si>
  <si>
    <t>results/01_baselines/codet5_s42/FOSSIG_to_BIKE_7/eval_test.json</t>
  </si>
  <si>
    <t>codet5_s42|FOSSIG_to_S1000D_spec_sample</t>
  </si>
  <si>
    <t>results/01_baselines/codet5_s42/FOSSIG_to_S1000D_spec_sample/eval_test.json</t>
  </si>
  <si>
    <t>codet5_s42|FOSSIG_to_s1kd-tools-doc</t>
  </si>
  <si>
    <t>results/01_baselines/codet5_s42/FOSSIG_to_s1kd-tools-doc/eval_test.json</t>
  </si>
  <si>
    <t>codet5_s42|S1000D_spec_sample_to_BIKE_7</t>
  </si>
  <si>
    <t>results/01_baselines/codet5_s42/S1000D_spec_sample_to_BIKE_7/eval_test.json</t>
  </si>
  <si>
    <t>codet5_s42|S1000D_spec_sample_to_FOSSIG</t>
  </si>
  <si>
    <t>results/01_baselines/codet5_s42/S1000D_spec_sample_to_FOSSIG/eval_test.json</t>
  </si>
  <si>
    <t>codet5_s42|S1000D_spec_sample_to_s1kd-tools-doc</t>
  </si>
  <si>
    <t>results/01_baselines/codet5_s42/S1000D_spec_sample_to_s1kd-tools-doc/eval_test.json</t>
  </si>
  <si>
    <t>codet5_s42|s1kd-tools-doc_to_BIKE_7</t>
  </si>
  <si>
    <t>results/01_baselines/codet5_s42/s1kd-tools-doc_to_BIKE_7/eval_test.json</t>
  </si>
  <si>
    <t>codet5_s42|s1kd-tools-doc_to_FOSSIG</t>
  </si>
  <si>
    <t>results/01_baselines/codet5_s42/s1kd-tools-doc_to_FOSSIG/eval_test.json</t>
  </si>
  <si>
    <t>codet5_s42|s1kd-tools-doc_to_S1000D_spec_sample</t>
  </si>
  <si>
    <t>results/01_baselines/codet5_s42/s1kd-tools-doc_to_S1000D_spec_sample/eval_test.json</t>
  </si>
  <si>
    <t>t5_s42|BIKE_7_to_FOSSIG</t>
  </si>
  <si>
    <t>t5_s42</t>
  </si>
  <si>
    <t>t5-base</t>
  </si>
  <si>
    <t>results/01_baselines/t5_s42/BIKE_7_to_FOSSIG/eval_test.json</t>
  </si>
  <si>
    <t>t5_s42|BIKE_7_to_S1000D_spec_sample</t>
  </si>
  <si>
    <t>results/01_baselines/t5_s42/BIKE_7_to_S1000D_spec_sample/eval_test.json</t>
  </si>
  <si>
    <t>t5_s42|BIKE_7_to_s1kd-tools-doc</t>
  </si>
  <si>
    <t>results/01_baselines/t5_s42/BIKE_7_to_s1kd-tools-doc/eval_test.json</t>
  </si>
  <si>
    <t>t5_s42|FOSSIG_to_BIKE_7</t>
  </si>
  <si>
    <t>results/01_baselines/t5_s42/FOSSIG_to_BIKE_7/eval_test.json</t>
  </si>
  <si>
    <t>t5_s42|FOSSIG_to_S1000D_spec_sample</t>
  </si>
  <si>
    <t>results/01_baselines/t5_s42/FOSSIG_to_S1000D_spec_sample/eval_test.json</t>
  </si>
  <si>
    <t>t5_s42|FOSSIG_to_s1kd-tools-doc</t>
  </si>
  <si>
    <t>results/01_baselines/t5_s42/FOSSIG_to_s1kd-tools-doc/eval_test.json</t>
  </si>
  <si>
    <t>t5_s42|S1000D_spec_sample_to_BIKE_7</t>
  </si>
  <si>
    <t>results/01_baselines/t5_s42/S1000D_spec_sample_to_BIKE_7/eval_test.json</t>
  </si>
  <si>
    <t>t5_s42|S1000D_spec_sample_to_FOSSIG</t>
  </si>
  <si>
    <t>results/01_baselines/t5_s42/S1000D_spec_sample_to_FOSSIG/eval_test.json</t>
  </si>
  <si>
    <t>t5_s42|S1000D_spec_sample_to_s1kd-tools-doc</t>
  </si>
  <si>
    <t>results/01_baselines/t5_s42/S1000D_spec_sample_to_s1kd-tools-doc/eval_test.json</t>
  </si>
  <si>
    <t>t5_s42|s1kd-tools-doc_to_BIKE_7</t>
  </si>
  <si>
    <t>results/01_baselines/t5_s42/s1kd-tools-doc_to_BIKE_7/eval_test.json</t>
  </si>
  <si>
    <t>t5_s42|s1kd-tools-doc_to_FOSSIG</t>
  </si>
  <si>
    <t>results/01_baselines/t5_s42/s1kd-tools-doc_to_FOSSIG/eval_test.json</t>
  </si>
  <si>
    <t>t5_s42|s1kd-tools-doc_to_S1000D_spec_sample</t>
  </si>
  <si>
    <t>results/01_baselines/t5_s42/s1kd-tools-doc_to_S1000D_spec_sample/eval_test.json</t>
  </si>
  <si>
    <t>allA_meancos_p1024_s42|BIKE_7_to_FOSSIG</t>
  </si>
  <si>
    <t>allA_meancos_p1024_s42</t>
  </si>
  <si>
    <t>mean pooling, cosine (tau 0.05)</t>
  </si>
  <si>
    <t>Small targets only (2-6 test docs): too noisy to conclude</t>
  </si>
  <si>
    <t>results/02_pooling_fix/allA_meancos_p1024_s42/BIKE_7_to_FOSSIG/eval_test.json</t>
  </si>
  <si>
    <t>allA_meancos_p1024_s42|BIKE_7_to_s1kd-tools-doc</t>
  </si>
  <si>
    <t>results/02_pooling_fix/allA_meancos_p1024_s42/BIKE_7_to_s1kd-tools-doc/eval_test.json</t>
  </si>
  <si>
    <t>allA_meancos_p1024_s42|FOSSIG_to_BIKE_7</t>
  </si>
  <si>
    <t>results/02_pooling_fix/allA_meancos_p1024_s42/FOSSIG_to_BIKE_7/eval_test.json</t>
  </si>
  <si>
    <t>allA_meancos_p1024_s42|FOSSIG_to_s1kd-tools-doc</t>
  </si>
  <si>
    <t>results/02_pooling_fix/allA_meancos_p1024_s42/FOSSIG_to_s1kd-tools-doc/eval_test.json</t>
  </si>
  <si>
    <t>allA_meancos_p1024_s42|S1000D_spec_sample_to_BIKE_7</t>
  </si>
  <si>
    <t>results/02_pooling_fix/allA_meancos_p1024_s42/S1000D_spec_sample_to_BIKE_7/eval_test.json</t>
  </si>
  <si>
    <t>allA_meancos_p1024_s42|S1000D_spec_sample_to_FOSSIG</t>
  </si>
  <si>
    <t>results/02_pooling_fix/allA_meancos_p1024_s42/S1000D_spec_sample_to_FOSSIG/eval_test.json</t>
  </si>
  <si>
    <t>allA_meancos_p1024_s42|S1000D_spec_sample_to_s1kd-tools-doc</t>
  </si>
  <si>
    <t>results/02_pooling_fix/allA_meancos_p1024_s42/S1000D_spec_sample_to_s1kd-tools-doc/eval_test.json</t>
  </si>
  <si>
    <t>allA_meancos_p1024_s42|s1kd-tools-doc_to_BIKE_7</t>
  </si>
  <si>
    <t>results/02_pooling_fix/allA_meancos_p1024_s42/s1kd-tools-doc_to_BIKE_7/eval_test.json</t>
  </si>
  <si>
    <t>allA_meancos_p1024_s42|s1kd-tools-doc_to_FOSSIG</t>
  </si>
  <si>
    <t>results/02_pooling_fix/allA_meancos_p1024_s42/s1kd-tools-doc_to_FOSSIG/eval_test.json</t>
  </si>
  <si>
    <t>allA_meancos_p2048_s42|BIKE_7_to_FOSSIG</t>
  </si>
  <si>
    <t>allA_meancos_p2048_s42</t>
  </si>
  <si>
    <t>results/02_pooling_fix/allA_meancos_p2048_s42/BIKE_7_to_FOSSIG/eval_test.json</t>
  </si>
  <si>
    <t>allA_meancos_p2048_s42|BIKE_7_to_s1kd-tools-doc</t>
  </si>
  <si>
    <t>results/02_pooling_fix/allA_meancos_p2048_s42/BIKE_7_to_s1kd-tools-doc/eval_test.json</t>
  </si>
  <si>
    <t>allA_meancos_p2048_s42|FOSSIG_to_BIKE_7</t>
  </si>
  <si>
    <t>results/02_pooling_fix/allA_meancos_p2048_s42/FOSSIG_to_BIKE_7/eval_test.json</t>
  </si>
  <si>
    <t>allA_meancos_p2048_s42|FOSSIG_to_s1kd-tools-doc</t>
  </si>
  <si>
    <t>results/02_pooling_fix/allA_meancos_p2048_s42/FOSSIG_to_s1kd-tools-doc/eval_test.json</t>
  </si>
  <si>
    <t>allA_meancos_p2048_s42|S1000D_spec_sample_to_BIKE_7</t>
  </si>
  <si>
    <t>results/02_pooling_fix/allA_meancos_p2048_s42/S1000D_spec_sample_to_BIKE_7/eval_test.json</t>
  </si>
  <si>
    <t>allA_meancos_p2048_s42|S1000D_spec_sample_to_FOSSIG</t>
  </si>
  <si>
    <t>results/02_pooling_fix/allA_meancos_p2048_s42/S1000D_spec_sample_to_FOSSIG/eval_test.json</t>
  </si>
  <si>
    <t>allA_meancos_p2048_s42|S1000D_spec_sample_to_s1kd-tools-doc</t>
  </si>
  <si>
    <t>results/02_pooling_fix/allA_meancos_p2048_s42/S1000D_spec_sample_to_s1kd-tools-doc/eval_test.json</t>
  </si>
  <si>
    <t>allA_meancos_p2048_s42|s1kd-tools-doc_to_BIKE_7</t>
  </si>
  <si>
    <t>results/02_pooling_fix/allA_meancos_p2048_s42/s1kd-tools-doc_to_BIKE_7/eval_test.json</t>
  </si>
  <si>
    <t>allA_meancos_p2048_s42|s1kd-tools-doc_to_FOSSIG</t>
  </si>
  <si>
    <t>results/02_pooling_fix/allA_meancos_p2048_s42/s1kd-tools-doc_to_FOSSIG/eval_test.json</t>
  </si>
  <si>
    <t>fixA_meancos_p1024_s1|BIKE_7_to_S1000D_spec_sample</t>
  </si>
  <si>
    <t>fixA_meancos_p1024_s1</t>
  </si>
  <si>
    <t>Best config ('config A')</t>
  </si>
  <si>
    <t>results/02_pooling_fix/fixA_meancos_p1024_s1/BIKE_7_to_S1000D_spec_sample/eval_test.json</t>
  </si>
  <si>
    <t>fixA_meancos_p1024_s1|FOSSIG_to_S1000D_spec_sample</t>
  </si>
  <si>
    <t>results/02_pooling_fix/fixA_meancos_p1024_s1/FOSSIG_to_S1000D_spec_sample/eval_test.json</t>
  </si>
  <si>
    <t>fixA_meancos_p1024_s1|s1kd-tools-doc_to_S1000D_spec_sample</t>
  </si>
  <si>
    <t>results/02_pooling_fix/fixA_meancos_p1024_s1/s1kd-tools-doc_to_S1000D_spec_sample/eval_test.json</t>
  </si>
  <si>
    <t>fixA_meancos_p1024_s2|BIKE_7_to_S1000D_spec_sample</t>
  </si>
  <si>
    <t>fixA_meancos_p1024_s2</t>
  </si>
  <si>
    <t>results/02_pooling_fix/fixA_meancos_p1024_s2/BIKE_7_to_S1000D_spec_sample/eval_test.json</t>
  </si>
  <si>
    <t>fixA_meancos_p1024_s2|FOSSIG_to_S1000D_spec_sample</t>
  </si>
  <si>
    <t>results/02_pooling_fix/fixA_meancos_p1024_s2/FOSSIG_to_S1000D_spec_sample/eval_test.json</t>
  </si>
  <si>
    <t>fixA_meancos_p1024_s2|s1kd-tools-doc_to_S1000D_spec_sample</t>
  </si>
  <si>
    <t>results/02_pooling_fix/fixA_meancos_p1024_s2/s1kd-tools-doc_to_S1000D_spec_sample/eval_test.json</t>
  </si>
  <si>
    <t>fixA_meancos_p1024_s42|BIKE_7_to_S1000D_spec_sample</t>
  </si>
  <si>
    <t>fixA_meancos_p1024_s42</t>
  </si>
  <si>
    <t>results/02_pooling_fix/fixA_meancos_p1024_s42/BIKE_7_to_S1000D_spec_sample/eval_test.json</t>
  </si>
  <si>
    <t>fixA_meancos_p1024_s42|FOSSIG_to_S1000D_spec_sample</t>
  </si>
  <si>
    <t>results/02_pooling_fix/fixA_meancos_p1024_s42/FOSSIG_to_S1000D_spec_sample/eval_test.json</t>
  </si>
  <si>
    <t>fixA_meancos_p1024_s42|s1kd-tools-doc_to_S1000D_spec_sample</t>
  </si>
  <si>
    <t>results/02_pooling_fix/fixA_meancos_p1024_s42/s1kd-tools-doc_to_S1000D_spec_sample/eval_test.json</t>
  </si>
  <si>
    <t>fixB_meandot_p1024_s42|BIKE_7_to_S1000D_spec_sample</t>
  </si>
  <si>
    <t>fixB_meandot_p1024_s42</t>
  </si>
  <si>
    <t>mean pooling, dot</t>
  </si>
  <si>
    <t>results/02_pooling_fix/fixB_meandot_p1024_s42/BIKE_7_to_S1000D_spec_sample/eval_test.json</t>
  </si>
  <si>
    <t>fixB_meandot_p1024_s42|FOSSIG_to_S1000D_spec_sample</t>
  </si>
  <si>
    <t>results/02_pooling_fix/fixB_meandot_p1024_s42/FOSSIG_to_S1000D_spec_sample/eval_test.json</t>
  </si>
  <si>
    <t>fixB_meandot_p1024_s42|s1kd-tools-doc_to_S1000D_spec_sample</t>
  </si>
  <si>
    <t>results/02_pooling_fix/fixB_meandot_p1024_s42/s1kd-tools-doc_to_S1000D_spec_sample/eval_test.json</t>
  </si>
  <si>
    <t>fixC_meancos_p256_s42|BIKE_7_to_S1000D_spec_sample</t>
  </si>
  <si>
    <t>fixC_meancos_p256_s42</t>
  </si>
  <si>
    <t>results/02_pooling_fix/fixC_meancos_p256_s42/BIKE_7_to_S1000D_spec_sample/eval_test.json</t>
  </si>
  <si>
    <t>fixC_meancos_p256_s42|FOSSIG_to_S1000D_spec_sample</t>
  </si>
  <si>
    <t>results/02_pooling_fix/fixC_meancos_p256_s42/FOSSIG_to_S1000D_spec_sample/eval_test.json</t>
  </si>
  <si>
    <t>fixC_meancos_p256_s42|s1kd-tools-doc_to_S1000D_spec_sample</t>
  </si>
  <si>
    <t>results/02_pooling_fix/fixC_meancos_p256_s42/s1kd-tools-doc_to_S1000D_spec_sample/eval_test.json</t>
  </si>
  <si>
    <t>nopreAll_meancos_p1024_s1|BIKE_7</t>
  </si>
  <si>
    <t>nopreAll_meancos_p1024_s1</t>
  </si>
  <si>
    <t>(none)</t>
  </si>
  <si>
    <t>No pretraining; small targets, too noisy to conclude</t>
  </si>
  <si>
    <t>results/02_pooling_fix/nopreAll_meancos_p1024_s1/BIKE_7/eval_test.json</t>
  </si>
  <si>
    <t>nopreAll_meancos_p1024_s1|FOSSIG</t>
  </si>
  <si>
    <t>results/02_pooling_fix/nopreAll_meancos_p1024_s1/FOSSIG/eval_test.json</t>
  </si>
  <si>
    <t>nopreAll_meancos_p1024_s1|s1kd-tools-doc</t>
  </si>
  <si>
    <t>results/02_pooling_fix/nopreAll_meancos_p1024_s1/s1kd-tools-doc/eval_test.json</t>
  </si>
  <si>
    <t>nopreAll_meancos_p1024_s2|BIKE_7</t>
  </si>
  <si>
    <t>nopreAll_meancos_p1024_s2</t>
  </si>
  <si>
    <t>results/02_pooling_fix/nopreAll_meancos_p1024_s2/BIKE_7/eval_test.json</t>
  </si>
  <si>
    <t>nopreAll_meancos_p1024_s2|FOSSIG</t>
  </si>
  <si>
    <t>results/02_pooling_fix/nopreAll_meancos_p1024_s2/FOSSIG/eval_test.json</t>
  </si>
  <si>
    <t>nopreAll_meancos_p1024_s2|s1kd-tools-doc</t>
  </si>
  <si>
    <t>results/02_pooling_fix/nopreAll_meancos_p1024_s2/s1kd-tools-doc/eval_test.json</t>
  </si>
  <si>
    <t>nopreAll_meancos_p1024_s42|BIKE_7</t>
  </si>
  <si>
    <t>nopreAll_meancos_p1024_s42</t>
  </si>
  <si>
    <t>results/02_pooling_fix/nopreAll_meancos_p1024_s42/BIKE_7/eval_test.json</t>
  </si>
  <si>
    <t>nopreAll_meancos_p1024_s42|FOSSIG</t>
  </si>
  <si>
    <t>results/02_pooling_fix/nopreAll_meancos_p1024_s42/FOSSIG/eval_test.json</t>
  </si>
  <si>
    <t>nopreAll_meancos_p1024_s42|s1kd-tools-doc</t>
  </si>
  <si>
    <t>results/02_pooling_fix/nopreAll_meancos_p1024_s42/s1kd-tools-doc/eval_test.json</t>
  </si>
  <si>
    <t>nopre_meancos_p1024_s1|S1000D_spec_sample</t>
  </si>
  <si>
    <t>nopre_meancos_p1024_s1</t>
  </si>
  <si>
    <t>No-pretraining control</t>
  </si>
  <si>
    <t>results/02_pooling_fix/nopre_meancos_p1024_s1/S1000D_spec_sample/eval_test.json</t>
  </si>
  <si>
    <t>nopre_meancos_p1024_s2|S1000D_spec_sample</t>
  </si>
  <si>
    <t>nopre_meancos_p1024_s2</t>
  </si>
  <si>
    <t>results/02_pooling_fix/nopre_meancos_p1024_s2/S1000D_spec_sample/eval_test.json</t>
  </si>
  <si>
    <t>nopre_meancos_p1024_s3|S1000D_spec_sample</t>
  </si>
  <si>
    <t>nopre_meancos_p1024_s3</t>
  </si>
  <si>
    <t>results/02_pooling_fix/nopre_meancos_p1024_s3/S1000D_spec_sample/eval_test.json</t>
  </si>
  <si>
    <t>nopre_meancos_p1024_s4|S1000D_spec_sample</t>
  </si>
  <si>
    <t>nopre_meancos_p1024_s4</t>
  </si>
  <si>
    <t>results/02_pooling_fix/nopre_meancos_p1024_s4/S1000D_spec_sample/eval_test.json</t>
  </si>
  <si>
    <t>nopre_meancos_p1024_s42|S1000D_spec_sample</t>
  </si>
  <si>
    <t>nopre_meancos_p1024_s42</t>
  </si>
  <si>
    <t>results/02_pooling_fix/nopre_meancos_p1024_s42/S1000D_spec_sample/eval_test.json</t>
  </si>
  <si>
    <t>anonq_meancos_p1024_s1|BIKE_7_to_S1000D_spec_sample</t>
  </si>
  <si>
    <t>anonq_meancos_p1024_s1</t>
  </si>
  <si>
    <t>anonymized</t>
  </si>
  <si>
    <t>results/03_query_leakage/anonq_meancos_p1024_s1/BIKE_7_to_S1000D_spec_sample/eval_test.json</t>
  </si>
  <si>
    <t>anonq_meancos_p1024_s1|FOSSIG_to_S1000D_spec_sample</t>
  </si>
  <si>
    <t>results/03_query_leakage/anonq_meancos_p1024_s1/FOSSIG_to_S1000D_spec_sample/eval_test.json</t>
  </si>
  <si>
    <t>anonq_meancos_p1024_s1|s1kd-tools-doc_to_S1000D_spec_sample</t>
  </si>
  <si>
    <t>results/03_query_leakage/anonq_meancos_p1024_s1/s1kd-tools-doc_to_S1000D_spec_sample/eval_test.json</t>
  </si>
  <si>
    <t>anonq_meancos_p1024_s2|BIKE_7_to_S1000D_spec_sample</t>
  </si>
  <si>
    <t>anonq_meancos_p1024_s2</t>
  </si>
  <si>
    <t>results/03_query_leakage/anonq_meancos_p1024_s2/BIKE_7_to_S1000D_spec_sample/eval_test.json</t>
  </si>
  <si>
    <t>anonq_meancos_p1024_s2|FOSSIG_to_S1000D_spec_sample</t>
  </si>
  <si>
    <t>results/03_query_leakage/anonq_meancos_p1024_s2/FOSSIG_to_S1000D_spec_sample/eval_test.json</t>
  </si>
  <si>
    <t>anonq_meancos_p1024_s2|s1kd-tools-doc_to_S1000D_spec_sample</t>
  </si>
  <si>
    <t>results/03_query_leakage/anonq_meancos_p1024_s2/s1kd-tools-doc_to_S1000D_spec_sample/eval_test.json</t>
  </si>
  <si>
    <t>anonq_meancos_p1024_s42|BIKE_7_to_S1000D_spec_sample</t>
  </si>
  <si>
    <t>anonq_meancos_p1024_s42</t>
  </si>
  <si>
    <t>results/03_query_leakage/anonq_meancos_p1024_s42/BIKE_7_to_S1000D_spec_sample/eval_test.json</t>
  </si>
  <si>
    <t>anonq_meancos_p1024_s42|FOSSIG_to_S1000D_spec_sample</t>
  </si>
  <si>
    <t>results/03_query_leakage/anonq_meancos_p1024_s42/FOSSIG_to_S1000D_spec_sample/eval_test.json</t>
  </si>
  <si>
    <t>anonq_meancos_p1024_s42|s1kd-tools-doc_to_S1000D_spec_sample</t>
  </si>
  <si>
    <t>results/03_query_leakage/anonq_meancos_p1024_s42/s1kd-tools-doc_to_S1000D_spec_sample/eval_test.json</t>
  </si>
  <si>
    <t>anonq_nopre_meancos_p1024_s1|S1000D_spec_sample</t>
  </si>
  <si>
    <t>anonq_nopre_meancos_p1024_s1</t>
  </si>
  <si>
    <t>results/03_query_leakage/anonq_nopre_meancos_p1024_s1/S1000D_spec_sample/eval_test.json</t>
  </si>
  <si>
    <t>anonq_nopre_meancos_p1024_s2|S1000D_spec_sample</t>
  </si>
  <si>
    <t>anonq_nopre_meancos_p1024_s2</t>
  </si>
  <si>
    <t>results/03_query_leakage/anonq_nopre_meancos_p1024_s2/S1000D_spec_sample/eval_test.json</t>
  </si>
  <si>
    <t>anonq_nopre_meancos_p1024_s42|S1000D_spec_sample</t>
  </si>
  <si>
    <t>anonq_nopre_meancos_p1024_s42</t>
  </si>
  <si>
    <t>results/03_query_leakage/anonq_nopre_meancos_p1024_s42/S1000D_spec_sample/eval_test.json</t>
  </si>
  <si>
    <t>stage0_tmp_s42|BIKE_7_to_S1000D_spec_sample</t>
  </si>
  <si>
    <t>unknown</t>
  </si>
  <si>
    <t>Temp/smoke run, at chance; config not documented</t>
  </si>
  <si>
    <t>results/03_query_leakage/stage0_tmp_s42/BIKE_7_to_S1000D_spec_sample/eval_test.json</t>
  </si>
  <si>
    <t>stage0_tmp_s42|FOSSIG_to_S1000D_spec_sample</t>
  </si>
  <si>
    <t>results/03_query_leakage/stage0_tmp_s42/FOSSIG_to_S1000D_spec_sample/eval_test.json</t>
  </si>
  <si>
    <t>stage0_tmp_s42|s1kd-tools-doc_to_S1000D_spec_sample</t>
  </si>
  <si>
    <t>results/03_query_leakage/stage0_tmp_s42/s1kd-tools-doc_to_S1000D_spec_sample/eval_test.json</t>
  </si>
  <si>
    <t>pool332_eval_anon|BIKE_7_to_S1000D_spec_sample</t>
  </si>
  <si>
    <t>pool332_eval_anon</t>
  </si>
  <si>
    <t>Test on all 332 S1000D docs</t>
  </si>
  <si>
    <t>results/04_pool_size/pool332/anon_BIKE_7_eval_test_all332.json</t>
  </si>
  <si>
    <t>pool332_eval_anon|FOSSIG_to_S1000D_spec_sample</t>
  </si>
  <si>
    <t>results/04_pool_size/pool332/anon_FOSSIG_eval_test_all332.json</t>
  </si>
  <si>
    <t>pool332_eval_anon|S1000D_spec_sample</t>
  </si>
  <si>
    <t>results/04_pool_size/pool332/anon_nopre_eval_test_all332.json</t>
  </si>
  <si>
    <t>pool332_eval_anon|s1kd-tools-doc_to_S1000D_spec_sample</t>
  </si>
  <si>
    <t>results/04_pool_size/pool332/anon_s1kd-tools-doc_eval_test_all332.json</t>
  </si>
  <si>
    <t>pool332_eval_orig|BIKE_7_to_S1000D_spec_sample</t>
  </si>
  <si>
    <t>pool332_eval_orig</t>
  </si>
  <si>
    <t>results/04_pool_size/pool332/orig_BIKE_7_eval_test_all332.json</t>
  </si>
  <si>
    <t>pool332_eval_orig|FOSSIG_to_S1000D_spec_sample</t>
  </si>
  <si>
    <t>results/04_pool_size/pool332/orig_FOSSIG_eval_test_all332.json</t>
  </si>
  <si>
    <t>pool332_eval_orig|S1000D_spec_sample</t>
  </si>
  <si>
    <t>results/04_pool_size/pool332/orig_nopre_eval_test_all332.json</t>
  </si>
  <si>
    <t>pool332_eval_orig|s1kd-tools-doc_to_S1000D_spec_sample</t>
  </si>
  <si>
    <t>results/04_pool_size/pool332/orig_s1kd-tools-doc_eval_test_all332.json</t>
  </si>
  <si>
    <t>pool332_anon_nopre_s42|S1000D_spec_sample</t>
  </si>
  <si>
    <t>pool332_anon_nopre_s42</t>
  </si>
  <si>
    <t>No pretraining; re-evaluated on 332-doc pool</t>
  </si>
  <si>
    <t>results/04_pool_size/pool332_anon_nopre_s42/S1000D_spec_sample/eval_test.json</t>
  </si>
  <si>
    <t>pool332_anon_s42|BIKE_7_to_S1000D_spec_sample</t>
  </si>
  <si>
    <t>pool332_anon_s42</t>
  </si>
  <si>
    <t>Checkpoints re-evaluated on 332-doc pool (see pool332_eval_* rows)</t>
  </si>
  <si>
    <t>results/04_pool_size/pool332_anon_s42/BIKE_7_to_S1000D_spec_sample/eval_test.json</t>
  </si>
  <si>
    <t>pool332_anon_s42|FOSSIG_to_S1000D_spec_sample</t>
  </si>
  <si>
    <t>results/04_pool_size/pool332_anon_s42/FOSSIG_to_S1000D_spec_sample/eval_test.json</t>
  </si>
  <si>
    <t>pool332_anon_s42|s1kd-tools-doc_to_S1000D_spec_sample</t>
  </si>
  <si>
    <t>results/04_pool_size/pool332_anon_s42/s1kd-tools-doc_to_S1000D_spec_sample/eval_test.json</t>
  </si>
  <si>
    <t>pool332_orig_nopre_s42|S1000D_spec_sample</t>
  </si>
  <si>
    <t>pool332_orig_nopre_s42</t>
  </si>
  <si>
    <t>results/04_pool_size/pool332_orig_nopre_s42/S1000D_spec_sample/eval_test.json</t>
  </si>
  <si>
    <t>pool332_orig_s42|BIKE_7_to_S1000D_spec_sample</t>
  </si>
  <si>
    <t>pool332_orig_s42</t>
  </si>
  <si>
    <t>results/04_pool_size/pool332_orig_s42/BIKE_7_to_S1000D_spec_sample/eval_test.json</t>
  </si>
  <si>
    <t>pool332_orig_s42|FOSSIG_to_S1000D_spec_sample</t>
  </si>
  <si>
    <t>results/04_pool_size/pool332_orig_s42/FOSSIG_to_S1000D_spec_sample/eval_test.json</t>
  </si>
  <si>
    <t>pool332_orig_s42|s1kd-tools-doc_to_S1000D_spec_sample</t>
  </si>
  <si>
    <t>results/04_pool_size/pool332_orig_s42/s1kd-tools-doc_to_S1000D_spec_sample/eval_test.json</t>
  </si>
  <si>
    <t>longpretrain100_s42|BIKE_7_to_S1000D_spec_sample</t>
  </si>
  <si>
    <t>longpretrain100_s42</t>
  </si>
  <si>
    <t>Pretrain 100 epochs instead of 10</t>
  </si>
  <si>
    <t>results/05_pretrain_diagnosis/longpretrain100_s42/BIKE_7_to_S1000D_spec_sample/eval_test.json</t>
  </si>
  <si>
    <t>longpretrain100_s42|FOSSIG_to_S1000D_spec_sample</t>
  </si>
  <si>
    <t>results/05_pretrain_diagnosis/longpretrain100_s42/FOSSIG_to_S1000D_spec_sample/eval_test.json</t>
  </si>
  <si>
    <t>longpretrain100_s42|s1kd-tools-doc_to_S1000D_spec_sample</t>
  </si>
  <si>
    <t>results/05_pretrain_diagnosis/longpretrain100_s42/s1kd-tools-doc_to_S1000D_spec_sample/eval_test.json</t>
  </si>
  <si>
    <t>mepablate_s42|BIKE_7_to_S1000D_spec_sample</t>
  </si>
  <si>
    <t>mepablate_s42</t>
  </si>
  <si>
    <t>MEP loss OFF during pretraining (SDA only)</t>
  </si>
  <si>
    <t>results/05_pretrain_diagnosis/mepablate_s42/BIKE_7_to_S1000D_spec_sample/eval_test.json</t>
  </si>
  <si>
    <t>mepablate_s42|FOSSIG_to_S1000D_spec_sample</t>
  </si>
  <si>
    <t>results/05_pretrain_diagnosis/mepablate_s42/FOSSIG_to_S1000D_spec_sample/eval_test.json</t>
  </si>
  <si>
    <t>mepablate_s42|s1kd-tools-doc_to_S1000D_spec_sample</t>
  </si>
  <si>
    <t>results/05_pretrain_diagnosis/mepablate_s42/s1kd-tools-doc_to_S1000D_spec_sample/eval_test.json</t>
  </si>
  <si>
    <t>samedomain_alt_s42|finetuneA_only</t>
  </si>
  <si>
    <t>samedomain_alt_s42</t>
  </si>
  <si>
    <t>S1000D halfA</t>
  </si>
  <si>
    <t>Independent salted split (143 A / 154 B)</t>
  </si>
  <si>
    <t>results/06_same_domain/samedomain_alt_s42/finetuneA_only/eval_test.json</t>
  </si>
  <si>
    <t>samedomain_alt_s42|finetuneB_only</t>
  </si>
  <si>
    <t>S1000D halfB</t>
  </si>
  <si>
    <t>results/06_same_domain/samedomain_alt_s42/finetuneB_only/eval_test.json</t>
  </si>
  <si>
    <t>samedomain_alt_s42|pretrainA_finetuneB</t>
  </si>
  <si>
    <t>results/06_same_domain/samedomain_alt_s42/pretrainA_finetuneB/eval_test.json</t>
  </si>
  <si>
    <t>samedomain_alt_s42|pretrainB_finetuneA</t>
  </si>
  <si>
    <t>results/06_same_domain/samedomain_alt_s42/pretrainB_finetuneA/eval_test.json</t>
  </si>
  <si>
    <t>samedomain_s1|finetuneA_only</t>
  </si>
  <si>
    <t>samedomain_s1</t>
  </si>
  <si>
    <t>S1000D train split halved (150 A / 147 B)</t>
  </si>
  <si>
    <t>results/06_same_domain/samedomain_s1/finetuneA_only/eval_test.json</t>
  </si>
  <si>
    <t>samedomain_s1|finetuneB_only</t>
  </si>
  <si>
    <t>results/06_same_domain/samedomain_s1/finetuneB_only/eval_test.json</t>
  </si>
  <si>
    <t>samedomain_s1|pretrainA_finetuneB</t>
  </si>
  <si>
    <t>results/06_same_domain/samedomain_s1/pretrainA_finetuneB/eval_test.json</t>
  </si>
  <si>
    <t>samedomain_s1|pretrainB_finetuneA</t>
  </si>
  <si>
    <t>results/06_same_domain/samedomain_s1/pretrainB_finetuneA/eval_test.json</t>
  </si>
  <si>
    <t>samedomain_s2|finetuneA_only</t>
  </si>
  <si>
    <t>samedomain_s2</t>
  </si>
  <si>
    <t>results/06_same_domain/samedomain_s2/finetuneA_only/eval_test.json</t>
  </si>
  <si>
    <t>samedomain_s2|finetuneB_only</t>
  </si>
  <si>
    <t>results/06_same_domain/samedomain_s2/finetuneB_only/eval_test.json</t>
  </si>
  <si>
    <t>samedomain_s2|pretrainA_finetuneB</t>
  </si>
  <si>
    <t>results/06_same_domain/samedomain_s2/pretrainA_finetuneB/eval_test.json</t>
  </si>
  <si>
    <t>samedomain_s2|pretrainB_finetuneA</t>
  </si>
  <si>
    <t>results/06_same_domain/samedomain_s2/pretrainB_finetuneA/eval_test.json</t>
  </si>
  <si>
    <t>samedomain_s42|finetuneA_only</t>
  </si>
  <si>
    <t>samedomain_s42</t>
  </si>
  <si>
    <t>results/06_same_domain/samedomain_s42/finetuneA_only/eval_test.json</t>
  </si>
  <si>
    <t>samedomain_s42|finetuneB_only</t>
  </si>
  <si>
    <t>results/06_same_domain/samedomain_s42/finetuneB_only/eval_test.json</t>
  </si>
  <si>
    <t>samedomain_s42|pretrainA_finetuneB</t>
  </si>
  <si>
    <t>results/06_same_domain/samedomain_s42/pretrainA_finetuneB/eval_test.json</t>
  </si>
  <si>
    <t>samedomain_s42|pretrainB_finetuneA</t>
  </si>
  <si>
    <t>results/06_same_domain/samedomain_s42/pretrainB_finetuneA/eval_test.json</t>
  </si>
  <si>
    <t>acc8_s42 (git HEAD)|BIKE_7_to_FOSSIG</t>
  </si>
  <si>
    <t>superseded</t>
  </si>
  <si>
    <t>acc8_s42 (git HEAD)</t>
  </si>
  <si>
    <t>Grad. accumulation 8; collapsed pooling. Deleted from working tree</t>
  </si>
  <si>
    <t>git HEAD:results/BIKE_7_to_FOSSIG/eval_test.json</t>
  </si>
  <si>
    <t>ga1 (git HEAD)|BIKE_7_to_FOSSIG</t>
  </si>
  <si>
    <t>ga1 (git HEAD)</t>
  </si>
  <si>
    <t>Grad. accumulation 1; collapsed pooling. Deleted</t>
  </si>
  <si>
    <t>git HEAD:results/ga1/BIKE_7_to_FOSSIG/eval_test.json</t>
  </si>
  <si>
    <t>zero_shot (git HEAD)|BIKE_7_to_FOSSIG</t>
  </si>
  <si>
    <t>zero_shot (git HEAD)</t>
  </si>
  <si>
    <t>Pretrain checkpoint, no finetuning; collapsed pooling. Deleted</t>
  </si>
  <si>
    <t>git HEAD:results/zero_shot/BIKE_7_to_FOSSIG/eval_test.json</t>
  </si>
  <si>
    <t>acc8_s42 (git HEAD)|BIKE_7_to_S1000D_spec_sample</t>
  </si>
  <si>
    <t>git HEAD:results/BIKE_7_to_S1000D_spec_sample/eval_test.json</t>
  </si>
  <si>
    <t>ga1 (git HEAD)|BIKE_7_to_S1000D_spec_sample</t>
  </si>
  <si>
    <t>git HEAD:results/ga1/BIKE_7_to_S1000D_spec_sample/eval_test.json</t>
  </si>
  <si>
    <t>zero_shot (git HEAD)|BIKE_7_to_S1000D_spec_sample</t>
  </si>
  <si>
    <t>git HEAD:results/zero_shot/BIKE_7_to_S1000D_spec_sample/eval_test.json</t>
  </si>
  <si>
    <t>acc8_s42 (git HEAD)|BIKE_7_to_s1kd-tools-doc</t>
  </si>
  <si>
    <t>git HEAD:results/BIKE_7_to_s1kd-tools-doc/eval_test.json</t>
  </si>
  <si>
    <t>ga1 (git HEAD)|BIKE_7_to_s1kd-tools-doc</t>
  </si>
  <si>
    <t>git HEAD:results/ga1/BIKE_7_to_s1kd-tools-doc/eval_test.json</t>
  </si>
  <si>
    <t>zero_shot (git HEAD)|BIKE_7_to_s1kd-tools-doc</t>
  </si>
  <si>
    <t>git HEAD:results/zero_shot/BIKE_7_to_s1kd-tools-doc/eval_test.json</t>
  </si>
  <si>
    <t>acc8_s42 (git HEAD)|FOSSIG_to_BIKE_7</t>
  </si>
  <si>
    <t>git HEAD:results/FOSSIG_to_BIKE_7/eval_test.json</t>
  </si>
  <si>
    <t>ga1 (git HEAD)|FOSSIG_to_BIKE_7</t>
  </si>
  <si>
    <t>git HEAD:results/ga1/FOSSIG_to_BIKE_7/eval_test.json</t>
  </si>
  <si>
    <t>zero_shot (git HEAD)|FOSSIG_to_BIKE_7</t>
  </si>
  <si>
    <t>git HEAD:results/zero_shot/FOSSIG_to_BIKE_7/eval_test.json</t>
  </si>
  <si>
    <t>acc8_s42 (git HEAD)|FOSSIG_to_S1000D_spec_sample</t>
  </si>
  <si>
    <t>git HEAD:results/FOSSIG_to_S1000D_spec_sample/eval_test.json</t>
  </si>
  <si>
    <t>ga1 (git HEAD)|FOSSIG_to_S1000D_spec_sample</t>
  </si>
  <si>
    <t>git HEAD:results/ga1/FOSSIG_to_S1000D_spec_sample/eval_test.json</t>
  </si>
  <si>
    <t>zero_shot (git HEAD)|FOSSIG_to_S1000D_spec_sample</t>
  </si>
  <si>
    <t>git HEAD:results/zero_shot/FOSSIG_to_S1000D_spec_sample/eval_test.json</t>
  </si>
  <si>
    <t>acc8_s42 (git HEAD)|FOSSIG_to_s1kd-tools-doc</t>
  </si>
  <si>
    <t>git HEAD:results/FOSSIG_to_s1kd-tools-doc/eval_test.json</t>
  </si>
  <si>
    <t>ga1 (git HEAD)|FOSSIG_to_s1kd-tools-doc</t>
  </si>
  <si>
    <t>git HEAD:results/ga1/FOSSIG_to_s1kd-tools-doc/eval_test.json</t>
  </si>
  <si>
    <t>zero_shot (git HEAD)|FOSSIG_to_s1kd-tools-doc</t>
  </si>
  <si>
    <t>git HEAD:results/zero_shot/FOSSIG_to_s1kd-tools-doc/eval_test.json</t>
  </si>
  <si>
    <t>acc8_s42 (git HEAD)|S1000D_spec_sample_to_BIKE_7</t>
  </si>
  <si>
    <t>git HEAD:results/S1000D_spec_sample_to_BIKE_7/eval_test.json</t>
  </si>
  <si>
    <t>ga1 (git HEAD)|S1000D_spec_sample_to_BIKE_7</t>
  </si>
  <si>
    <t>git HEAD:results/ga1/S1000D_spec_sample_to_BIKE_7/eval_test.json</t>
  </si>
  <si>
    <t>zero_shot (git HEAD)|S1000D_spec_sample_to_BIKE_7</t>
  </si>
  <si>
    <t>git HEAD:results/zero_shot/S1000D_spec_sample_to_BIKE_7/eval_test.json</t>
  </si>
  <si>
    <t>acc8_s42 (git HEAD)|S1000D_spec_sample_to_FOSSIG</t>
  </si>
  <si>
    <t>git HEAD:results/S1000D_spec_sample_to_FOSSIG/eval_test.json</t>
  </si>
  <si>
    <t>ga1 (git HEAD)|S1000D_spec_sample_to_FOSSIG</t>
  </si>
  <si>
    <t>git HEAD:results/ga1/S1000D_spec_sample_to_FOSSIG/eval_test.json</t>
  </si>
  <si>
    <t>zero_shot (git HEAD)|S1000D_spec_sample_to_FOSSIG</t>
  </si>
  <si>
    <t>git HEAD:results/zero_shot/S1000D_spec_sample_to_FOSSIG/eval_test.json</t>
  </si>
  <si>
    <t>acc8_s42 (git HEAD)|S1000D_spec_sample_to_s1kd-tools-doc</t>
  </si>
  <si>
    <t>git HEAD:results/S1000D_spec_sample_to_s1kd-tools-doc/eval_test.json</t>
  </si>
  <si>
    <t>ga1 (git HEAD)|S1000D_spec_sample_to_s1kd-tools-doc</t>
  </si>
  <si>
    <t>git HEAD:results/ga1/S1000D_spec_sample_to_s1kd-tools-doc/eval_test.json</t>
  </si>
  <si>
    <t>zero_shot (git HEAD)|S1000D_spec_sample_to_s1kd-tools-doc</t>
  </si>
  <si>
    <t>git HEAD:results/zero_shot/S1000D_spec_sample_to_s1kd-tools-doc/eval_test.json</t>
  </si>
  <si>
    <t>acc8_s42 (git HEAD)|s1kd-tools-doc_to_BIKE_7</t>
  </si>
  <si>
    <t>git HEAD:results/s1kd-tools-doc_to_BIKE_7/eval_test.json</t>
  </si>
  <si>
    <t>ga1 (git HEAD)|s1kd-tools-doc_to_BIKE_7</t>
  </si>
  <si>
    <t>git HEAD:results/ga1/s1kd-tools-doc_to_BIKE_7/eval_test.json</t>
  </si>
  <si>
    <t>zero_shot (git HEAD)|s1kd-tools-doc_to_BIKE_7</t>
  </si>
  <si>
    <t>git HEAD:results/zero_shot/s1kd-tools-doc_to_BIKE_7/eval_test.json</t>
  </si>
  <si>
    <t>acc8_s42 (git HEAD)|s1kd-tools-doc_to_FOSSIG</t>
  </si>
  <si>
    <t>git HEAD:results/s1kd-tools-doc_to_FOSSIG/eval_test.json</t>
  </si>
  <si>
    <t>ga1 (git HEAD)|s1kd-tools-doc_to_FOSSIG</t>
  </si>
  <si>
    <t>git HEAD:results/ga1/s1kd-tools-doc_to_FOSSIG/eval_test.json</t>
  </si>
  <si>
    <t>zero_shot (git HEAD)|s1kd-tools-doc_to_FOSSIG</t>
  </si>
  <si>
    <t>git HEAD:results/zero_shot/s1kd-tools-doc_to_FOSSIG/eval_test.json</t>
  </si>
  <si>
    <t>acc8_s42 (git HEAD)|s1kd-tools-doc_to_S1000D_spec_sample</t>
  </si>
  <si>
    <t>git HEAD:results/s1kd-tools-doc_to_S1000D_spec_sample/eval_test.json</t>
  </si>
  <si>
    <t>ga1 (git HEAD)|s1kd-tools-doc_to_S1000D_spec_sample</t>
  </si>
  <si>
    <t>git HEAD:results/ga1/s1kd-tools-doc_to_S1000D_spec_sample/eval_test.json</t>
  </si>
  <si>
    <t>zero_shot (git HEAD)|s1kd-tools-doc_to_S1000D_spec_sample</t>
  </si>
  <si>
    <t>git HEAD:results/zero_shot/s1kd-tools-doc_to_S1000D_spec_sample/eval_test.json</t>
  </si>
  <si>
    <t>experiment-1 (git HEAD)|(all)</t>
  </si>
  <si>
    <t>experiment-1 (git HEAD)</t>
  </si>
  <si>
    <t>(old pooled)</t>
  </si>
  <si>
    <t>Old pooled dataset (before per-folder split); MRR suspected inflated. Deleted</t>
  </si>
  <si>
    <t>git HEAD:results/experiment-1/eval_test.json</t>
  </si>
  <si>
    <t>Test MRR, pretrain source (rows) x finetune target (columns). Seed 42.</t>
  </si>
  <si>
    <t>T5, first-token pooling, dot, p256 (t5_s42)</t>
  </si>
  <si>
    <t>Pretrain \ Finetune</t>
  </si>
  <si>
    <t>bike</t>
  </si>
  <si>
    <t>fossig</t>
  </si>
  <si>
    <t>s1000d-spec</t>
  </si>
  <si>
    <t>Row mean</t>
  </si>
  <si>
    <t>—</t>
  </si>
  <si>
    <t>Chance</t>
  </si>
  <si>
    <t>Test docs</t>
  </si>
  <si>
    <t>CodeT5, first-token pooling, dot, p256 (codet5_s42)</t>
  </si>
  <si>
    <t>CodeT5, first-token pooling, dot, p1024 (cnt_p1024_s42)</t>
  </si>
  <si>
    <t>CodeT5, config A, p1024 (allA_meancos_p1024_s42; S1000D column from fixA_meancos_p1024_s42)</t>
  </si>
  <si>
    <t>CodeT5, config A, p2048 (allA_meancos_p2048_s42; no S1000D-target runs)</t>
  </si>
  <si>
    <t>No pretraining, config A, p1024 (nopreAll / nopre): test MRR per target</t>
  </si>
  <si>
    <t>Mean</t>
  </si>
  <si>
    <t>SD</t>
  </si>
  <si>
    <t>Finetune target S1000D_spec_sample (21 test docs), test MRR</t>
  </si>
  <si>
    <t>Chance 0.1736. Columns are the pretrain source; Mean / SD are across the three sources.</t>
  </si>
  <si>
    <t>Config</t>
  </si>
  <si>
    <t>Queries</t>
  </si>
  <si>
    <t>Mean pretrain-dev MRR</t>
  </si>
  <si>
    <t>T5 baseline, first-token, dot, p256</t>
  </si>
  <si>
    <t>CodeT5 baseline, first-token, dot, p256</t>
  </si>
  <si>
    <t>CodeT5 baseline, first-token, dot, p256 (rerun)</t>
  </si>
  <si>
    <t>CodeT5 baseline, first-token, dot, p1024</t>
  </si>
  <si>
    <t>Mean pooling, dot, p1024 (fixB)</t>
  </si>
  <si>
    <t>Mean pooling, cosine, p256 (fixC)</t>
  </si>
  <si>
    <t>Config A: mean, cosine, p1024 (fixA)</t>
  </si>
  <si>
    <t>Config A, MEP loss OFF in pretraining</t>
  </si>
  <si>
    <t>Config A, pretrain 100 epochs</t>
  </si>
  <si>
    <t>Config A, anonymized queries</t>
  </si>
  <si>
    <t>No-pretraining controls (base CodeT5 finetuned directly, config A, p1024)</t>
  </si>
  <si>
    <t>No pretraining</t>
  </si>
  <si>
    <t>Pretrained vs. no pretraining (config A)</t>
  </si>
  <si>
    <t>Pretrained mean</t>
  </si>
  <si>
    <t>Pretrained SD</t>
  </si>
  <si>
    <t>n</t>
  </si>
  <si>
    <t>No-pretrain mean</t>
  </si>
  <si>
    <t>No-pretrain SD</t>
  </si>
  <si>
    <t>Difference (pre - nopre)</t>
  </si>
  <si>
    <t>Pretrained = 3 pretrain sources x 3 seeds. A difference smaller than ~1 SD means no pretraining benefit.</t>
  </si>
  <si>
    <t>Ablations vs. config A (seed 42)</t>
  </si>
  <si>
    <t>Comparison</t>
  </si>
  <si>
    <t>Config A mean</t>
  </si>
  <si>
    <t>Ablation mean</t>
  </si>
  <si>
    <t>Difference (ablation - A)</t>
  </si>
  <si>
    <t>MEP loss OFF</t>
  </si>
  <si>
    <t>Pretrain 100 epochs</t>
  </si>
  <si>
    <t>Mean + dot instead of cosine</t>
  </si>
  <si>
    <t>p_max_len 256 instead of 1024</t>
  </si>
  <si>
    <t>Collapsed baseline (first-token, dot, p1024)</t>
  </si>
  <si>
    <t>Same-domain pretraining: S1000D train split halved into A and B (config A, p1024)</t>
  </si>
  <si>
    <t>'Harder' half = the one with the lower finetune-only (no-pretrain) baseline. Gain = pretrained - finetune-only on the same finetune half.</t>
  </si>
  <si>
    <t>Split</t>
  </si>
  <si>
    <t>FT-only A</t>
  </si>
  <si>
    <t>FT-only B</t>
  </si>
  <si>
    <t>Pretrain B -&gt; FT A</t>
  </si>
  <si>
    <t>Pretrain A -&gt; FT B</t>
  </si>
  <si>
    <t>Gain on A</t>
  </si>
  <si>
    <t>Gain on B</t>
  </si>
  <si>
    <t>Harder half</t>
  </si>
  <si>
    <t>Gain on harder</t>
  </si>
  <si>
    <t>Gain on easier</t>
  </si>
  <si>
    <t>Pretrain-dev MRR (A)</t>
  </si>
  <si>
    <t>Pretrain-dev MRR (B)</t>
  </si>
  <si>
    <t>orig (150A/147B)</t>
  </si>
  <si>
    <t>alt (143A/154B)</t>
  </si>
  <si>
    <t>Mean (all 4)</t>
  </si>
  <si>
    <t>Min</t>
  </si>
  <si>
    <t>Runs with gain &gt; 0</t>
  </si>
  <si>
    <t>Pretrain-dev chance with 14 dev docs = 0.2323. Takeaway: pretraining helps the harder finetune half in every run; the easier half gains little.</t>
  </si>
  <si>
    <t>Tie: when FT-only A = FT-only B the harder half is undefined, so that run is left out of the harder/easier columns (README treated A as harder there, +0.0594).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</si>
</sst>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\+0.0000;\-0.0000;0.000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sz val="9"/>
      <name val="Wawati TC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FEB9C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/>
    <xf numFmtId="176" fontId="6" fillId="0" borderId="1" xfId="0" applyNumberFormat="1" applyFont="1" applyBorder="1"/>
    <xf numFmtId="0" fontId="6" fillId="0" borderId="1" xfId="0" applyFont="1" applyBorder="1"/>
    <xf numFmtId="0" fontId="4" fillId="5" borderId="1" xfId="0" applyFont="1" applyFill="1" applyBorder="1"/>
    <xf numFmtId="0" fontId="4" fillId="3" borderId="1" xfId="0" applyFont="1" applyFill="1" applyBorder="1"/>
    <xf numFmtId="176" fontId="4" fillId="0" borderId="1" xfId="0" applyNumberFormat="1" applyFont="1" applyBorder="1"/>
    <xf numFmtId="177" fontId="4" fillId="0" borderId="1" xfId="0" applyNumberFormat="1" applyFont="1" applyBorder="1"/>
    <xf numFmtId="0" fontId="4" fillId="4" borderId="1" xfId="0" applyFont="1" applyFill="1" applyBorder="1"/>
    <xf numFmtId="0" fontId="2" fillId="0" borderId="0" xfId="0" applyFont="1"/>
    <xf numFmtId="0" fontId="4" fillId="0" borderId="1" xfId="0" applyFont="1" applyBorder="1" applyAlignment="1">
      <alignment horizontal="center" vertical="top"/>
    </xf>
    <xf numFmtId="0" fontId="2" fillId="0" borderId="1" xfId="0" applyFont="1" applyBorder="1"/>
    <xf numFmtId="176" fontId="3" fillId="0" borderId="1" xfId="0" applyNumberFormat="1" applyFont="1" applyBorder="1"/>
    <xf numFmtId="177" fontId="3" fillId="0" borderId="1" xfId="0" applyNumberFormat="1" applyFont="1" applyBorder="1"/>
  </cellXfs>
  <cellStyles count="1">
    <cellStyle name="一般" xfId="0" builtinId="0"/>
  </cellStyles>
  <dxfs count="16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zoomScaleNormal="100" workbookViewId="0">
      <selection activeCell="A14" sqref="A14:XFD14"/>
    </sheetView>
  </sheetViews>
  <sheetFormatPr baseColWidth="10" defaultColWidth="8.5" defaultRowHeight="15" x14ac:dyDescent="0.2"/>
  <cols>
    <col min="1" max="1" width="30" customWidth="1"/>
    <col min="2" max="2" width="42" customWidth="1"/>
    <col min="3" max="3" width="40" customWidth="1"/>
    <col min="4" max="4" width="14" customWidth="1"/>
    <col min="5" max="5" width="60" customWidth="1"/>
    <col min="6" max="8" width="10" customWidth="1"/>
  </cols>
  <sheetData>
    <row r="1" spans="1:8" ht="18" x14ac:dyDescent="0.2">
      <c r="A1" s="4" t="s">
        <v>0</v>
      </c>
    </row>
    <row r="2" spans="1:8" ht="27.75" customHeight="1" x14ac:dyDescent="0.2">
      <c r="A2" s="3" t="s">
        <v>1</v>
      </c>
      <c r="B2" s="3"/>
      <c r="C2" s="3"/>
      <c r="D2" s="3"/>
      <c r="E2" s="3"/>
      <c r="F2" s="3"/>
      <c r="G2" s="3"/>
      <c r="H2" s="3"/>
    </row>
    <row r="4" spans="1:8" x14ac:dyDescent="0.2">
      <c r="A4" s="5" t="s">
        <v>2</v>
      </c>
    </row>
    <row r="5" spans="1:8" ht="15" customHeight="1" x14ac:dyDescent="0.2">
      <c r="A5" s="6" t="s">
        <v>3</v>
      </c>
      <c r="B5" s="2" t="s">
        <v>4</v>
      </c>
      <c r="C5" s="2"/>
      <c r="D5" s="2"/>
      <c r="E5" s="2"/>
      <c r="F5" s="2"/>
      <c r="G5" s="2"/>
      <c r="H5" s="2"/>
    </row>
    <row r="6" spans="1:8" ht="15" customHeight="1" x14ac:dyDescent="0.2">
      <c r="A6" s="6" t="s">
        <v>5</v>
      </c>
      <c r="B6" s="2" t="s">
        <v>6</v>
      </c>
      <c r="C6" s="2"/>
      <c r="D6" s="2"/>
      <c r="E6" s="2"/>
      <c r="F6" s="2"/>
      <c r="G6" s="2"/>
      <c r="H6" s="2"/>
    </row>
    <row r="7" spans="1:8" ht="15" customHeight="1" x14ac:dyDescent="0.2">
      <c r="A7" s="6" t="s">
        <v>7</v>
      </c>
      <c r="B7" s="2" t="s">
        <v>8</v>
      </c>
      <c r="C7" s="2"/>
      <c r="D7" s="2"/>
      <c r="E7" s="2"/>
      <c r="F7" s="2"/>
      <c r="G7" s="2"/>
      <c r="H7" s="2"/>
    </row>
    <row r="8" spans="1:8" ht="15" customHeight="1" x14ac:dyDescent="0.2">
      <c r="A8" s="6" t="s">
        <v>9</v>
      </c>
      <c r="B8" s="2" t="s">
        <v>10</v>
      </c>
      <c r="C8" s="2"/>
      <c r="D8" s="2"/>
      <c r="E8" s="2"/>
      <c r="F8" s="2"/>
      <c r="G8" s="2"/>
      <c r="H8" s="2"/>
    </row>
    <row r="10" spans="1:8" x14ac:dyDescent="0.2">
      <c r="A10" s="5" t="s">
        <v>12</v>
      </c>
    </row>
    <row r="11" spans="1:8" x14ac:dyDescent="0.2">
      <c r="A11" s="8" t="s">
        <v>13</v>
      </c>
      <c r="B11" s="8" t="s">
        <v>14</v>
      </c>
      <c r="C11" s="8" t="s">
        <v>15</v>
      </c>
      <c r="D11" s="8" t="s">
        <v>16</v>
      </c>
      <c r="E11" s="8" t="s">
        <v>17</v>
      </c>
    </row>
    <row r="12" spans="1:8" ht="42" customHeight="1" x14ac:dyDescent="0.2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</row>
    <row r="13" spans="1:8" ht="42" customHeight="1" x14ac:dyDescent="0.2">
      <c r="A13" s="7" t="s">
        <v>23</v>
      </c>
      <c r="B13" s="7" t="s">
        <v>24</v>
      </c>
      <c r="C13" s="7" t="s">
        <v>25</v>
      </c>
      <c r="D13" s="7" t="s">
        <v>21</v>
      </c>
      <c r="E13" s="7" t="s">
        <v>26</v>
      </c>
    </row>
    <row r="14" spans="1:8" ht="42" customHeight="1" x14ac:dyDescent="0.2">
      <c r="A14" s="7" t="s">
        <v>23</v>
      </c>
      <c r="B14" s="7" t="s">
        <v>27</v>
      </c>
      <c r="C14" s="7" t="s">
        <v>28</v>
      </c>
      <c r="D14" s="9" t="s">
        <v>29</v>
      </c>
      <c r="E14" s="7" t="s">
        <v>30</v>
      </c>
    </row>
    <row r="15" spans="1:8" ht="42" customHeight="1" x14ac:dyDescent="0.2">
      <c r="A15" s="7" t="s">
        <v>31</v>
      </c>
      <c r="B15" s="7" t="s">
        <v>32</v>
      </c>
      <c r="C15" s="7" t="s">
        <v>33</v>
      </c>
      <c r="D15" s="7" t="s">
        <v>21</v>
      </c>
      <c r="E15" s="7" t="s">
        <v>34</v>
      </c>
    </row>
    <row r="16" spans="1:8" ht="42" customHeight="1" x14ac:dyDescent="0.2">
      <c r="A16" s="7" t="s">
        <v>37</v>
      </c>
      <c r="B16" s="7" t="s">
        <v>38</v>
      </c>
      <c r="C16" s="7" t="s">
        <v>39</v>
      </c>
      <c r="D16" s="7" t="s">
        <v>21</v>
      </c>
      <c r="E16" s="7" t="s">
        <v>40</v>
      </c>
    </row>
    <row r="17" spans="1:8" ht="42" customHeight="1" x14ac:dyDescent="0.2">
      <c r="A17" s="7" t="s">
        <v>41</v>
      </c>
      <c r="B17" s="7" t="s">
        <v>42</v>
      </c>
      <c r="C17" s="7" t="s">
        <v>43</v>
      </c>
      <c r="D17" s="7" t="s">
        <v>21</v>
      </c>
      <c r="E17" s="7" t="s">
        <v>44</v>
      </c>
    </row>
    <row r="18" spans="1:8" ht="42" customHeight="1" x14ac:dyDescent="0.2">
      <c r="A18" s="7" t="s">
        <v>45</v>
      </c>
      <c r="B18" s="7" t="s">
        <v>46</v>
      </c>
      <c r="C18" s="7" t="s">
        <v>47</v>
      </c>
      <c r="D18" s="7" t="s">
        <v>21</v>
      </c>
      <c r="E18" s="7" t="s">
        <v>48</v>
      </c>
    </row>
    <row r="20" spans="1:8" x14ac:dyDescent="0.2">
      <c r="A20" s="5" t="s">
        <v>49</v>
      </c>
    </row>
    <row r="21" spans="1:8" x14ac:dyDescent="0.2">
      <c r="A21" s="8" t="s">
        <v>50</v>
      </c>
      <c r="B21" s="8" t="s">
        <v>51</v>
      </c>
      <c r="C21" s="8" t="s">
        <v>52</v>
      </c>
    </row>
    <row r="22" spans="1:8" x14ac:dyDescent="0.2">
      <c r="A22" s="10" t="s">
        <v>53</v>
      </c>
      <c r="B22" s="11">
        <v>1</v>
      </c>
      <c r="C22" s="10" t="s">
        <v>54</v>
      </c>
    </row>
    <row r="23" spans="1:8" x14ac:dyDescent="0.2">
      <c r="A23" s="10" t="s">
        <v>55</v>
      </c>
      <c r="B23" s="11">
        <v>0.97619999999999996</v>
      </c>
      <c r="C23" s="10" t="s">
        <v>56</v>
      </c>
    </row>
    <row r="24" spans="1:8" x14ac:dyDescent="0.2">
      <c r="A24" s="10" t="s">
        <v>57</v>
      </c>
      <c r="B24" s="11">
        <v>0.1736</v>
      </c>
      <c r="C24" s="10" t="s">
        <v>58</v>
      </c>
    </row>
    <row r="25" spans="1:8" x14ac:dyDescent="0.2">
      <c r="A25" s="10" t="s">
        <v>59</v>
      </c>
      <c r="B25" s="11">
        <v>0.4083</v>
      </c>
      <c r="C25" s="10" t="s">
        <v>60</v>
      </c>
    </row>
    <row r="26" spans="1:8" x14ac:dyDescent="0.2">
      <c r="A26" s="10" t="s">
        <v>61</v>
      </c>
      <c r="B26" s="11">
        <v>0.61109999999999998</v>
      </c>
      <c r="C26" s="10" t="s">
        <v>62</v>
      </c>
    </row>
    <row r="27" spans="1:8" x14ac:dyDescent="0.2">
      <c r="A27" s="10" t="s">
        <v>63</v>
      </c>
      <c r="B27" s="11">
        <v>0.75</v>
      </c>
      <c r="C27" s="10" t="s">
        <v>64</v>
      </c>
    </row>
    <row r="29" spans="1:8" x14ac:dyDescent="0.2">
      <c r="A29" s="5" t="s">
        <v>65</v>
      </c>
    </row>
    <row r="30" spans="1:8" x14ac:dyDescent="0.2">
      <c r="A30" s="12" t="s">
        <v>66</v>
      </c>
      <c r="B30" s="1" t="s">
        <v>67</v>
      </c>
      <c r="C30" s="1"/>
      <c r="D30" s="1"/>
      <c r="E30" s="1"/>
      <c r="F30" s="1"/>
      <c r="G30" s="1"/>
      <c r="H30" s="1"/>
    </row>
    <row r="31" spans="1:8" x14ac:dyDescent="0.2">
      <c r="A31" s="10" t="s">
        <v>68</v>
      </c>
      <c r="B31" s="1" t="s">
        <v>69</v>
      </c>
      <c r="C31" s="1"/>
      <c r="D31" s="1"/>
      <c r="E31" s="1"/>
      <c r="F31" s="1"/>
      <c r="G31" s="1"/>
      <c r="H31" s="1"/>
    </row>
    <row r="32" spans="1:8" x14ac:dyDescent="0.2">
      <c r="A32" s="13" t="s">
        <v>70</v>
      </c>
      <c r="B32" s="1" t="s">
        <v>71</v>
      </c>
      <c r="C32" s="1"/>
      <c r="D32" s="1"/>
      <c r="E32" s="1"/>
      <c r="F32" s="1"/>
      <c r="G32" s="1"/>
      <c r="H32" s="1"/>
    </row>
    <row r="33" spans="1:8" x14ac:dyDescent="0.2">
      <c r="A33" s="14" t="s">
        <v>72</v>
      </c>
      <c r="B33" s="1" t="s">
        <v>73</v>
      </c>
      <c r="C33" s="1"/>
      <c r="D33" s="1"/>
      <c r="E33" s="1"/>
      <c r="F33" s="1"/>
      <c r="G33" s="1"/>
      <c r="H33" s="1"/>
    </row>
  </sheetData>
  <mergeCells count="9">
    <mergeCell ref="B32:H32"/>
    <mergeCell ref="B33:H33"/>
    <mergeCell ref="B8:H8"/>
    <mergeCell ref="B30:H30"/>
    <mergeCell ref="B31:H31"/>
    <mergeCell ref="A2:H2"/>
    <mergeCell ref="B5:H5"/>
    <mergeCell ref="B6:H6"/>
    <mergeCell ref="B7:H7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7"/>
  <sheetViews>
    <sheetView zoomScaleNormal="100" workbookViewId="0">
      <pane xSplit="3" ySplit="1" topLeftCell="D118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5" defaultRowHeight="15" x14ac:dyDescent="0.2"/>
  <cols>
    <col min="1" max="1" width="44" customWidth="1"/>
    <col min="2" max="2" width="20" customWidth="1"/>
    <col min="3" max="3" width="28" customWidth="1"/>
    <col min="4" max="4" width="13" customWidth="1"/>
    <col min="5" max="5" width="6" customWidth="1"/>
    <col min="6" max="6" width="18" customWidth="1"/>
    <col min="7" max="7" width="20" customWidth="1"/>
    <col min="8" max="8" width="13" customWidth="1"/>
    <col min="9" max="9" width="30" customWidth="1"/>
    <col min="10" max="10" width="9" customWidth="1"/>
    <col min="11" max="11" width="11" customWidth="1"/>
    <col min="12" max="12" width="10" customWidth="1"/>
    <col min="13" max="14" width="11" customWidth="1"/>
    <col min="15" max="15" width="10" customWidth="1"/>
    <col min="16" max="16" width="9" customWidth="1"/>
    <col min="17" max="17" width="10" customWidth="1"/>
    <col min="18" max="18" width="50" customWidth="1"/>
    <col min="19" max="19" width="70" customWidth="1"/>
  </cols>
  <sheetData>
    <row r="1" spans="1:19" ht="28" x14ac:dyDescent="0.2">
      <c r="A1" s="8" t="s">
        <v>74</v>
      </c>
      <c r="B1" s="8" t="s">
        <v>13</v>
      </c>
      <c r="C1" s="8" t="s">
        <v>75</v>
      </c>
      <c r="D1" s="8" t="s">
        <v>16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8" t="s">
        <v>83</v>
      </c>
      <c r="M1" s="8" t="s">
        <v>84</v>
      </c>
      <c r="N1" s="8" t="s">
        <v>85</v>
      </c>
      <c r="O1" s="8" t="s">
        <v>86</v>
      </c>
      <c r="P1" s="8" t="s">
        <v>87</v>
      </c>
      <c r="Q1" s="8" t="s">
        <v>88</v>
      </c>
      <c r="R1" s="8" t="s">
        <v>89</v>
      </c>
      <c r="S1" s="8" t="s">
        <v>90</v>
      </c>
    </row>
    <row r="2" spans="1:19" x14ac:dyDescent="0.2">
      <c r="A2" s="10" t="s">
        <v>91</v>
      </c>
      <c r="B2" s="10" t="s">
        <v>18</v>
      </c>
      <c r="C2" s="10" t="s">
        <v>92</v>
      </c>
      <c r="D2" s="10" t="s">
        <v>21</v>
      </c>
      <c r="E2" s="10">
        <v>42</v>
      </c>
      <c r="F2" s="10" t="s">
        <v>93</v>
      </c>
      <c r="G2" s="10" t="s">
        <v>94</v>
      </c>
      <c r="H2" s="10" t="s">
        <v>95</v>
      </c>
      <c r="I2" s="10" t="s">
        <v>96</v>
      </c>
      <c r="J2" s="10">
        <v>1024</v>
      </c>
      <c r="K2" s="10" t="s">
        <v>97</v>
      </c>
      <c r="L2" s="10">
        <v>2</v>
      </c>
      <c r="M2" s="15">
        <v>0.61111111111111105</v>
      </c>
      <c r="N2" s="15">
        <v>0.75</v>
      </c>
      <c r="O2" s="15">
        <v>0.75</v>
      </c>
      <c r="P2" s="15">
        <v>0.75</v>
      </c>
      <c r="Q2" s="16">
        <f t="shared" ref="Q2:Q33" si="0">IF(AND(ISNUMBER(O2),ISNUMBER(P2)),O2-P2,"")</f>
        <v>0</v>
      </c>
      <c r="R2" s="10" t="s">
        <v>98</v>
      </c>
      <c r="S2" s="10" t="s">
        <v>99</v>
      </c>
    </row>
    <row r="3" spans="1:19" x14ac:dyDescent="0.2">
      <c r="A3" s="10" t="s">
        <v>100</v>
      </c>
      <c r="B3" s="10" t="s">
        <v>18</v>
      </c>
      <c r="C3" s="10" t="s">
        <v>92</v>
      </c>
      <c r="D3" s="10" t="s">
        <v>21</v>
      </c>
      <c r="E3" s="10">
        <v>42</v>
      </c>
      <c r="F3" s="10" t="s">
        <v>93</v>
      </c>
      <c r="G3" s="10" t="s">
        <v>101</v>
      </c>
      <c r="H3" s="10" t="s">
        <v>95</v>
      </c>
      <c r="I3" s="10" t="s">
        <v>96</v>
      </c>
      <c r="J3" s="10">
        <v>1024</v>
      </c>
      <c r="K3" s="10" t="s">
        <v>97</v>
      </c>
      <c r="L3" s="10">
        <v>21</v>
      </c>
      <c r="M3" s="15">
        <v>0.61111111111111105</v>
      </c>
      <c r="N3" s="15">
        <v>0.19887136672851</v>
      </c>
      <c r="O3" s="15">
        <v>0.153758405991931</v>
      </c>
      <c r="P3" s="15">
        <v>0.1736</v>
      </c>
      <c r="Q3" s="16">
        <f t="shared" si="0"/>
        <v>-1.9841594008069008E-2</v>
      </c>
      <c r="R3" s="10" t="s">
        <v>98</v>
      </c>
      <c r="S3" s="10" t="s">
        <v>102</v>
      </c>
    </row>
    <row r="4" spans="1:19" x14ac:dyDescent="0.2">
      <c r="A4" s="10" t="s">
        <v>103</v>
      </c>
      <c r="B4" s="10" t="s">
        <v>18</v>
      </c>
      <c r="C4" s="10" t="s">
        <v>92</v>
      </c>
      <c r="D4" s="10" t="s">
        <v>21</v>
      </c>
      <c r="E4" s="10">
        <v>42</v>
      </c>
      <c r="F4" s="10" t="s">
        <v>93</v>
      </c>
      <c r="G4" s="10" t="s">
        <v>104</v>
      </c>
      <c r="H4" s="10" t="s">
        <v>95</v>
      </c>
      <c r="I4" s="10" t="s">
        <v>96</v>
      </c>
      <c r="J4" s="10">
        <v>1024</v>
      </c>
      <c r="K4" s="10" t="s">
        <v>97</v>
      </c>
      <c r="L4" s="10">
        <v>3</v>
      </c>
      <c r="M4" s="15">
        <v>0.61111111111111105</v>
      </c>
      <c r="N4" s="15">
        <v>0.5625</v>
      </c>
      <c r="O4" s="15">
        <v>0.83333333333333304</v>
      </c>
      <c r="P4" s="15">
        <v>0.61109999999999998</v>
      </c>
      <c r="Q4" s="16">
        <f t="shared" si="0"/>
        <v>0.22223333333333306</v>
      </c>
      <c r="R4" s="10" t="s">
        <v>98</v>
      </c>
      <c r="S4" s="10" t="s">
        <v>105</v>
      </c>
    </row>
    <row r="5" spans="1:19" x14ac:dyDescent="0.2">
      <c r="A5" s="10" t="s">
        <v>106</v>
      </c>
      <c r="B5" s="10" t="s">
        <v>18</v>
      </c>
      <c r="C5" s="10" t="s">
        <v>92</v>
      </c>
      <c r="D5" s="10" t="s">
        <v>21</v>
      </c>
      <c r="E5" s="10">
        <v>42</v>
      </c>
      <c r="F5" s="10" t="s">
        <v>94</v>
      </c>
      <c r="G5" s="10" t="s">
        <v>93</v>
      </c>
      <c r="H5" s="10" t="s">
        <v>95</v>
      </c>
      <c r="I5" s="10" t="s">
        <v>96</v>
      </c>
      <c r="J5" s="10">
        <v>1024</v>
      </c>
      <c r="K5" s="10" t="s">
        <v>97</v>
      </c>
      <c r="L5" s="10">
        <v>6</v>
      </c>
      <c r="M5" s="15">
        <v>0.75</v>
      </c>
      <c r="N5" s="15">
        <v>0.61111111111111105</v>
      </c>
      <c r="O5" s="15">
        <v>0.40833333333333299</v>
      </c>
      <c r="P5" s="15">
        <v>0.4083</v>
      </c>
      <c r="Q5" s="16">
        <f t="shared" si="0"/>
        <v>3.3333333332996595E-5</v>
      </c>
      <c r="R5" s="10" t="s">
        <v>98</v>
      </c>
      <c r="S5" s="10" t="s">
        <v>107</v>
      </c>
    </row>
    <row r="6" spans="1:19" x14ac:dyDescent="0.2">
      <c r="A6" s="10" t="s">
        <v>108</v>
      </c>
      <c r="B6" s="10" t="s">
        <v>18</v>
      </c>
      <c r="C6" s="10" t="s">
        <v>92</v>
      </c>
      <c r="D6" s="10" t="s">
        <v>21</v>
      </c>
      <c r="E6" s="10">
        <v>42</v>
      </c>
      <c r="F6" s="10" t="s">
        <v>94</v>
      </c>
      <c r="G6" s="10" t="s">
        <v>101</v>
      </c>
      <c r="H6" s="10" t="s">
        <v>95</v>
      </c>
      <c r="I6" s="10" t="s">
        <v>96</v>
      </c>
      <c r="J6" s="10">
        <v>1024</v>
      </c>
      <c r="K6" s="10" t="s">
        <v>97</v>
      </c>
      <c r="L6" s="10">
        <v>21</v>
      </c>
      <c r="M6" s="15">
        <v>0.75</v>
      </c>
      <c r="N6" s="15">
        <v>0.23389150532007699</v>
      </c>
      <c r="O6" s="15">
        <v>0.19756523821649899</v>
      </c>
      <c r="P6" s="15">
        <v>0.1736</v>
      </c>
      <c r="Q6" s="16">
        <f t="shared" si="0"/>
        <v>2.3965238216498985E-2</v>
      </c>
      <c r="R6" s="10" t="s">
        <v>98</v>
      </c>
      <c r="S6" s="10" t="s">
        <v>109</v>
      </c>
    </row>
    <row r="7" spans="1:19" x14ac:dyDescent="0.2">
      <c r="A7" s="10" t="s">
        <v>110</v>
      </c>
      <c r="B7" s="10" t="s">
        <v>18</v>
      </c>
      <c r="C7" s="10" t="s">
        <v>92</v>
      </c>
      <c r="D7" s="10" t="s">
        <v>21</v>
      </c>
      <c r="E7" s="10">
        <v>42</v>
      </c>
      <c r="F7" s="10" t="s">
        <v>94</v>
      </c>
      <c r="G7" s="10" t="s">
        <v>104</v>
      </c>
      <c r="H7" s="10" t="s">
        <v>95</v>
      </c>
      <c r="I7" s="10" t="s">
        <v>96</v>
      </c>
      <c r="J7" s="10">
        <v>1024</v>
      </c>
      <c r="K7" s="10" t="s">
        <v>97</v>
      </c>
      <c r="L7" s="10">
        <v>3</v>
      </c>
      <c r="M7" s="15">
        <v>0.75</v>
      </c>
      <c r="N7" s="15">
        <v>0.52083333333333304</v>
      </c>
      <c r="O7" s="15">
        <v>0.61111111111111105</v>
      </c>
      <c r="P7" s="15">
        <v>0.61109999999999998</v>
      </c>
      <c r="Q7" s="16">
        <f t="shared" si="0"/>
        <v>1.111111111107288E-5</v>
      </c>
      <c r="R7" s="10" t="s">
        <v>98</v>
      </c>
      <c r="S7" s="10" t="s">
        <v>111</v>
      </c>
    </row>
    <row r="8" spans="1:19" x14ac:dyDescent="0.2">
      <c r="A8" s="10" t="s">
        <v>112</v>
      </c>
      <c r="B8" s="10" t="s">
        <v>18</v>
      </c>
      <c r="C8" s="10" t="s">
        <v>92</v>
      </c>
      <c r="D8" s="10" t="s">
        <v>21</v>
      </c>
      <c r="E8" s="10">
        <v>42</v>
      </c>
      <c r="F8" s="10" t="s">
        <v>101</v>
      </c>
      <c r="G8" s="10" t="s">
        <v>93</v>
      </c>
      <c r="H8" s="10" t="s">
        <v>95</v>
      </c>
      <c r="I8" s="10" t="s">
        <v>96</v>
      </c>
      <c r="J8" s="10">
        <v>1024</v>
      </c>
      <c r="K8" s="10" t="s">
        <v>97</v>
      </c>
      <c r="L8" s="10">
        <v>6</v>
      </c>
      <c r="M8" s="15">
        <v>0.21941253191253199</v>
      </c>
      <c r="N8" s="15">
        <v>0.61111111111111105</v>
      </c>
      <c r="O8" s="15">
        <v>0.422222222222222</v>
      </c>
      <c r="P8" s="15">
        <v>0.4083</v>
      </c>
      <c r="Q8" s="16">
        <f t="shared" si="0"/>
        <v>1.3922222222222003E-2</v>
      </c>
      <c r="R8" s="10" t="s">
        <v>98</v>
      </c>
      <c r="S8" s="10" t="s">
        <v>113</v>
      </c>
    </row>
    <row r="9" spans="1:19" x14ac:dyDescent="0.2">
      <c r="A9" s="10" t="s">
        <v>114</v>
      </c>
      <c r="B9" s="10" t="s">
        <v>18</v>
      </c>
      <c r="C9" s="10" t="s">
        <v>92</v>
      </c>
      <c r="D9" s="10" t="s">
        <v>21</v>
      </c>
      <c r="E9" s="10">
        <v>42</v>
      </c>
      <c r="F9" s="10" t="s">
        <v>101</v>
      </c>
      <c r="G9" s="10" t="s">
        <v>94</v>
      </c>
      <c r="H9" s="10" t="s">
        <v>95</v>
      </c>
      <c r="I9" s="10" t="s">
        <v>96</v>
      </c>
      <c r="J9" s="10">
        <v>1024</v>
      </c>
      <c r="K9" s="10" t="s">
        <v>97</v>
      </c>
      <c r="L9" s="10">
        <v>2</v>
      </c>
      <c r="M9" s="15">
        <v>0.21941253191253199</v>
      </c>
      <c r="N9" s="15">
        <v>0.75</v>
      </c>
      <c r="O9" s="15">
        <v>0.75</v>
      </c>
      <c r="P9" s="15">
        <v>0.75</v>
      </c>
      <c r="Q9" s="16">
        <f t="shared" si="0"/>
        <v>0</v>
      </c>
      <c r="R9" s="10" t="s">
        <v>98</v>
      </c>
      <c r="S9" s="10" t="s">
        <v>115</v>
      </c>
    </row>
    <row r="10" spans="1:19" x14ac:dyDescent="0.2">
      <c r="A10" s="10" t="s">
        <v>116</v>
      </c>
      <c r="B10" s="10" t="s">
        <v>18</v>
      </c>
      <c r="C10" s="10" t="s">
        <v>92</v>
      </c>
      <c r="D10" s="10" t="s">
        <v>21</v>
      </c>
      <c r="E10" s="10">
        <v>42</v>
      </c>
      <c r="F10" s="10" t="s">
        <v>101</v>
      </c>
      <c r="G10" s="10" t="s">
        <v>104</v>
      </c>
      <c r="H10" s="10" t="s">
        <v>95</v>
      </c>
      <c r="I10" s="10" t="s">
        <v>96</v>
      </c>
      <c r="J10" s="10">
        <v>1024</v>
      </c>
      <c r="K10" s="10" t="s">
        <v>97</v>
      </c>
      <c r="L10" s="10">
        <v>3</v>
      </c>
      <c r="M10" s="15">
        <v>0.21941253191253199</v>
      </c>
      <c r="N10" s="15">
        <v>0.54166666666666696</v>
      </c>
      <c r="O10" s="15">
        <v>0.61111111111111105</v>
      </c>
      <c r="P10" s="15">
        <v>0.61109999999999998</v>
      </c>
      <c r="Q10" s="16">
        <f t="shared" si="0"/>
        <v>1.111111111107288E-5</v>
      </c>
      <c r="R10" s="10" t="s">
        <v>98</v>
      </c>
      <c r="S10" s="10" t="s">
        <v>117</v>
      </c>
    </row>
    <row r="11" spans="1:19" x14ac:dyDescent="0.2">
      <c r="A11" s="10" t="s">
        <v>118</v>
      </c>
      <c r="B11" s="10" t="s">
        <v>18</v>
      </c>
      <c r="C11" s="10" t="s">
        <v>92</v>
      </c>
      <c r="D11" s="10" t="s">
        <v>21</v>
      </c>
      <c r="E11" s="10">
        <v>42</v>
      </c>
      <c r="F11" s="10" t="s">
        <v>104</v>
      </c>
      <c r="G11" s="10" t="s">
        <v>93</v>
      </c>
      <c r="H11" s="10" t="s">
        <v>95</v>
      </c>
      <c r="I11" s="10" t="s">
        <v>96</v>
      </c>
      <c r="J11" s="10">
        <v>1024</v>
      </c>
      <c r="K11" s="10" t="s">
        <v>97</v>
      </c>
      <c r="L11" s="10">
        <v>6</v>
      </c>
      <c r="M11" s="15">
        <v>0.52083333333333304</v>
      </c>
      <c r="N11" s="15">
        <v>0.61111111111111105</v>
      </c>
      <c r="O11" s="15">
        <v>0.45555555555555599</v>
      </c>
      <c r="P11" s="15">
        <v>0.4083</v>
      </c>
      <c r="Q11" s="16">
        <f t="shared" si="0"/>
        <v>4.7255555555555995E-2</v>
      </c>
      <c r="R11" s="10" t="s">
        <v>98</v>
      </c>
      <c r="S11" s="10" t="s">
        <v>119</v>
      </c>
    </row>
    <row r="12" spans="1:19" x14ac:dyDescent="0.2">
      <c r="A12" s="10" t="s">
        <v>120</v>
      </c>
      <c r="B12" s="10" t="s">
        <v>18</v>
      </c>
      <c r="C12" s="10" t="s">
        <v>92</v>
      </c>
      <c r="D12" s="10" t="s">
        <v>21</v>
      </c>
      <c r="E12" s="10">
        <v>42</v>
      </c>
      <c r="F12" s="10" t="s">
        <v>104</v>
      </c>
      <c r="G12" s="10" t="s">
        <v>94</v>
      </c>
      <c r="H12" s="10" t="s">
        <v>95</v>
      </c>
      <c r="I12" s="10" t="s">
        <v>96</v>
      </c>
      <c r="J12" s="10">
        <v>1024</v>
      </c>
      <c r="K12" s="10" t="s">
        <v>97</v>
      </c>
      <c r="L12" s="10">
        <v>2</v>
      </c>
      <c r="M12" s="15">
        <v>0.52083333333333304</v>
      </c>
      <c r="N12" s="15">
        <v>0.75</v>
      </c>
      <c r="O12" s="15">
        <v>0.75</v>
      </c>
      <c r="P12" s="15">
        <v>0.75</v>
      </c>
      <c r="Q12" s="16">
        <f t="shared" si="0"/>
        <v>0</v>
      </c>
      <c r="R12" s="10" t="s">
        <v>98</v>
      </c>
      <c r="S12" s="10" t="s">
        <v>121</v>
      </c>
    </row>
    <row r="13" spans="1:19" x14ac:dyDescent="0.2">
      <c r="A13" s="10" t="s">
        <v>122</v>
      </c>
      <c r="B13" s="10" t="s">
        <v>18</v>
      </c>
      <c r="C13" s="10" t="s">
        <v>92</v>
      </c>
      <c r="D13" s="10" t="s">
        <v>21</v>
      </c>
      <c r="E13" s="10">
        <v>42</v>
      </c>
      <c r="F13" s="10" t="s">
        <v>104</v>
      </c>
      <c r="G13" s="10" t="s">
        <v>101</v>
      </c>
      <c r="H13" s="10" t="s">
        <v>95</v>
      </c>
      <c r="I13" s="10" t="s">
        <v>96</v>
      </c>
      <c r="J13" s="10">
        <v>1024</v>
      </c>
      <c r="K13" s="10" t="s">
        <v>97</v>
      </c>
      <c r="L13" s="10">
        <v>21</v>
      </c>
      <c r="M13" s="15">
        <v>0.52083333333333304</v>
      </c>
      <c r="N13" s="15">
        <v>0.260764830407688</v>
      </c>
      <c r="O13" s="15">
        <v>0.17556276773990201</v>
      </c>
      <c r="P13" s="15">
        <v>0.1736</v>
      </c>
      <c r="Q13" s="16">
        <f t="shared" si="0"/>
        <v>1.9627677399020049E-3</v>
      </c>
      <c r="R13" s="10" t="s">
        <v>98</v>
      </c>
      <c r="S13" s="10" t="s">
        <v>123</v>
      </c>
    </row>
    <row r="14" spans="1:19" x14ac:dyDescent="0.2">
      <c r="A14" s="10" t="s">
        <v>124</v>
      </c>
      <c r="B14" s="10" t="s">
        <v>18</v>
      </c>
      <c r="C14" s="10" t="s">
        <v>125</v>
      </c>
      <c r="D14" s="10" t="s">
        <v>21</v>
      </c>
      <c r="E14" s="10">
        <v>42</v>
      </c>
      <c r="F14" s="10" t="s">
        <v>93</v>
      </c>
      <c r="G14" s="10" t="s">
        <v>101</v>
      </c>
      <c r="H14" s="10" t="s">
        <v>95</v>
      </c>
      <c r="I14" s="10" t="s">
        <v>96</v>
      </c>
      <c r="J14" s="10">
        <v>256</v>
      </c>
      <c r="K14" s="10" t="s">
        <v>97</v>
      </c>
      <c r="L14" s="10">
        <v>21</v>
      </c>
      <c r="M14" s="15">
        <v>0.61111111111111105</v>
      </c>
      <c r="N14" s="15">
        <v>0.23556899449756599</v>
      </c>
      <c r="O14" s="15">
        <v>0.17765124595619999</v>
      </c>
      <c r="P14" s="15">
        <v>0.1736</v>
      </c>
      <c r="Q14" s="16">
        <f t="shared" si="0"/>
        <v>4.0512459561999892E-3</v>
      </c>
      <c r="R14" s="10" t="s">
        <v>98</v>
      </c>
      <c r="S14" s="10" t="s">
        <v>126</v>
      </c>
    </row>
    <row r="15" spans="1:19" x14ac:dyDescent="0.2">
      <c r="A15" s="10" t="s">
        <v>127</v>
      </c>
      <c r="B15" s="10" t="s">
        <v>18</v>
      </c>
      <c r="C15" s="10" t="s">
        <v>125</v>
      </c>
      <c r="D15" s="10" t="s">
        <v>21</v>
      </c>
      <c r="E15" s="10">
        <v>42</v>
      </c>
      <c r="F15" s="10" t="s">
        <v>94</v>
      </c>
      <c r="G15" s="10" t="s">
        <v>101</v>
      </c>
      <c r="H15" s="10" t="s">
        <v>95</v>
      </c>
      <c r="I15" s="10" t="s">
        <v>96</v>
      </c>
      <c r="J15" s="10">
        <v>256</v>
      </c>
      <c r="K15" s="10" t="s">
        <v>97</v>
      </c>
      <c r="L15" s="10">
        <v>21</v>
      </c>
      <c r="M15" s="15">
        <v>0.75</v>
      </c>
      <c r="N15" s="15">
        <v>0.22710008245722499</v>
      </c>
      <c r="O15" s="15">
        <v>0.163102170692839</v>
      </c>
      <c r="P15" s="15">
        <v>0.1736</v>
      </c>
      <c r="Q15" s="16">
        <f t="shared" si="0"/>
        <v>-1.0497829307161005E-2</v>
      </c>
      <c r="R15" s="10" t="s">
        <v>98</v>
      </c>
      <c r="S15" s="10" t="s">
        <v>128</v>
      </c>
    </row>
    <row r="16" spans="1:19" x14ac:dyDescent="0.2">
      <c r="A16" s="10" t="s">
        <v>129</v>
      </c>
      <c r="B16" s="10" t="s">
        <v>18</v>
      </c>
      <c r="C16" s="10" t="s">
        <v>125</v>
      </c>
      <c r="D16" s="10" t="s">
        <v>21</v>
      </c>
      <c r="E16" s="10">
        <v>42</v>
      </c>
      <c r="F16" s="10" t="s">
        <v>104</v>
      </c>
      <c r="G16" s="10" t="s">
        <v>101</v>
      </c>
      <c r="H16" s="10" t="s">
        <v>95</v>
      </c>
      <c r="I16" s="10" t="s">
        <v>96</v>
      </c>
      <c r="J16" s="10">
        <v>256</v>
      </c>
      <c r="K16" s="10" t="s">
        <v>97</v>
      </c>
      <c r="L16" s="10">
        <v>21</v>
      </c>
      <c r="M16" s="15">
        <v>0.52083333333333304</v>
      </c>
      <c r="N16" s="15">
        <v>0.238321995464853</v>
      </c>
      <c r="O16" s="15">
        <v>0.16955163184154801</v>
      </c>
      <c r="P16" s="15">
        <v>0.1736</v>
      </c>
      <c r="Q16" s="16">
        <f t="shared" si="0"/>
        <v>-4.0483681584519982E-3</v>
      </c>
      <c r="R16" s="10" t="s">
        <v>98</v>
      </c>
      <c r="S16" s="10" t="s">
        <v>130</v>
      </c>
    </row>
    <row r="17" spans="1:19" x14ac:dyDescent="0.2">
      <c r="A17" s="10" t="s">
        <v>131</v>
      </c>
      <c r="B17" s="10" t="s">
        <v>18</v>
      </c>
      <c r="C17" s="10" t="s">
        <v>132</v>
      </c>
      <c r="D17" s="10" t="s">
        <v>21</v>
      </c>
      <c r="E17" s="10">
        <v>42</v>
      </c>
      <c r="F17" s="10" t="s">
        <v>93</v>
      </c>
      <c r="G17" s="10" t="s">
        <v>94</v>
      </c>
      <c r="H17" s="10" t="s">
        <v>95</v>
      </c>
      <c r="I17" s="10" t="s">
        <v>96</v>
      </c>
      <c r="J17" s="10">
        <v>256</v>
      </c>
      <c r="K17" s="10" t="s">
        <v>97</v>
      </c>
      <c r="L17" s="10">
        <v>2</v>
      </c>
      <c r="M17" s="15">
        <v>0.61111111111111105</v>
      </c>
      <c r="N17" s="15">
        <v>0.75</v>
      </c>
      <c r="O17" s="15">
        <v>0.75</v>
      </c>
      <c r="P17" s="15">
        <v>0.75</v>
      </c>
      <c r="Q17" s="16">
        <f t="shared" si="0"/>
        <v>0</v>
      </c>
      <c r="R17" s="10" t="s">
        <v>98</v>
      </c>
      <c r="S17" s="10" t="s">
        <v>133</v>
      </c>
    </row>
    <row r="18" spans="1:19" x14ac:dyDescent="0.2">
      <c r="A18" s="10" t="s">
        <v>134</v>
      </c>
      <c r="B18" s="10" t="s">
        <v>18</v>
      </c>
      <c r="C18" s="10" t="s">
        <v>132</v>
      </c>
      <c r="D18" s="10" t="s">
        <v>21</v>
      </c>
      <c r="E18" s="10">
        <v>42</v>
      </c>
      <c r="F18" s="10" t="s">
        <v>93</v>
      </c>
      <c r="G18" s="10" t="s">
        <v>101</v>
      </c>
      <c r="H18" s="10" t="s">
        <v>95</v>
      </c>
      <c r="I18" s="10" t="s">
        <v>96</v>
      </c>
      <c r="J18" s="10">
        <v>256</v>
      </c>
      <c r="K18" s="10" t="s">
        <v>97</v>
      </c>
      <c r="L18" s="10">
        <v>21</v>
      </c>
      <c r="M18" s="15">
        <v>0.61111111111111105</v>
      </c>
      <c r="N18" s="15">
        <v>0.23556899449756599</v>
      </c>
      <c r="O18" s="15">
        <v>0.17765124595619999</v>
      </c>
      <c r="P18" s="15">
        <v>0.1736</v>
      </c>
      <c r="Q18" s="16">
        <f t="shared" si="0"/>
        <v>4.0512459561999892E-3</v>
      </c>
      <c r="R18" s="10" t="s">
        <v>98</v>
      </c>
      <c r="S18" s="10" t="s">
        <v>135</v>
      </c>
    </row>
    <row r="19" spans="1:19" x14ac:dyDescent="0.2">
      <c r="A19" s="10" t="s">
        <v>136</v>
      </c>
      <c r="B19" s="10" t="s">
        <v>18</v>
      </c>
      <c r="C19" s="10" t="s">
        <v>132</v>
      </c>
      <c r="D19" s="10" t="s">
        <v>21</v>
      </c>
      <c r="E19" s="10">
        <v>42</v>
      </c>
      <c r="F19" s="10" t="s">
        <v>93</v>
      </c>
      <c r="G19" s="10" t="s">
        <v>104</v>
      </c>
      <c r="H19" s="10" t="s">
        <v>95</v>
      </c>
      <c r="I19" s="10" t="s">
        <v>96</v>
      </c>
      <c r="J19" s="10">
        <v>256</v>
      </c>
      <c r="K19" s="10" t="s">
        <v>97</v>
      </c>
      <c r="L19" s="10">
        <v>3</v>
      </c>
      <c r="M19" s="15">
        <v>0.61111111111111105</v>
      </c>
      <c r="N19" s="15">
        <v>0.6875</v>
      </c>
      <c r="O19" s="15">
        <v>0.61111111111111105</v>
      </c>
      <c r="P19" s="15">
        <v>0.61109999999999998</v>
      </c>
      <c r="Q19" s="16">
        <f t="shared" si="0"/>
        <v>1.111111111107288E-5</v>
      </c>
      <c r="R19" s="10" t="s">
        <v>98</v>
      </c>
      <c r="S19" s="10" t="s">
        <v>137</v>
      </c>
    </row>
    <row r="20" spans="1:19" x14ac:dyDescent="0.2">
      <c r="A20" s="10" t="s">
        <v>138</v>
      </c>
      <c r="B20" s="10" t="s">
        <v>18</v>
      </c>
      <c r="C20" s="10" t="s">
        <v>132</v>
      </c>
      <c r="D20" s="10" t="s">
        <v>21</v>
      </c>
      <c r="E20" s="10">
        <v>42</v>
      </c>
      <c r="F20" s="10" t="s">
        <v>94</v>
      </c>
      <c r="G20" s="10" t="s">
        <v>93</v>
      </c>
      <c r="H20" s="10" t="s">
        <v>95</v>
      </c>
      <c r="I20" s="10" t="s">
        <v>96</v>
      </c>
      <c r="J20" s="10">
        <v>256</v>
      </c>
      <c r="K20" s="10" t="s">
        <v>97</v>
      </c>
      <c r="L20" s="10">
        <v>6</v>
      </c>
      <c r="M20" s="15">
        <v>0.75</v>
      </c>
      <c r="N20" s="15">
        <v>0.61111111111111105</v>
      </c>
      <c r="O20" s="15">
        <v>0.40833333333333299</v>
      </c>
      <c r="P20" s="15">
        <v>0.4083</v>
      </c>
      <c r="Q20" s="16">
        <f t="shared" si="0"/>
        <v>3.3333333332996595E-5</v>
      </c>
      <c r="R20" s="10" t="s">
        <v>98</v>
      </c>
      <c r="S20" s="10" t="s">
        <v>139</v>
      </c>
    </row>
    <row r="21" spans="1:19" x14ac:dyDescent="0.2">
      <c r="A21" s="10" t="s">
        <v>140</v>
      </c>
      <c r="B21" s="10" t="s">
        <v>18</v>
      </c>
      <c r="C21" s="10" t="s">
        <v>132</v>
      </c>
      <c r="D21" s="10" t="s">
        <v>21</v>
      </c>
      <c r="E21" s="10">
        <v>42</v>
      </c>
      <c r="F21" s="10" t="s">
        <v>94</v>
      </c>
      <c r="G21" s="10" t="s">
        <v>101</v>
      </c>
      <c r="H21" s="10" t="s">
        <v>95</v>
      </c>
      <c r="I21" s="10" t="s">
        <v>96</v>
      </c>
      <c r="J21" s="10">
        <v>256</v>
      </c>
      <c r="K21" s="10" t="s">
        <v>97</v>
      </c>
      <c r="L21" s="10">
        <v>21</v>
      </c>
      <c r="M21" s="15">
        <v>0.75</v>
      </c>
      <c r="N21" s="15">
        <v>0.22710008245722499</v>
      </c>
      <c r="O21" s="15">
        <v>0.163102170692839</v>
      </c>
      <c r="P21" s="15">
        <v>0.1736</v>
      </c>
      <c r="Q21" s="16">
        <f t="shared" si="0"/>
        <v>-1.0497829307161005E-2</v>
      </c>
      <c r="R21" s="10" t="s">
        <v>98</v>
      </c>
      <c r="S21" s="10" t="s">
        <v>141</v>
      </c>
    </row>
    <row r="22" spans="1:19" x14ac:dyDescent="0.2">
      <c r="A22" s="10" t="s">
        <v>142</v>
      </c>
      <c r="B22" s="10" t="s">
        <v>18</v>
      </c>
      <c r="C22" s="10" t="s">
        <v>132</v>
      </c>
      <c r="D22" s="10" t="s">
        <v>21</v>
      </c>
      <c r="E22" s="10">
        <v>42</v>
      </c>
      <c r="F22" s="10" t="s">
        <v>94</v>
      </c>
      <c r="G22" s="10" t="s">
        <v>104</v>
      </c>
      <c r="H22" s="10" t="s">
        <v>95</v>
      </c>
      <c r="I22" s="10" t="s">
        <v>96</v>
      </c>
      <c r="J22" s="10">
        <v>256</v>
      </c>
      <c r="K22" s="10" t="s">
        <v>97</v>
      </c>
      <c r="L22" s="10">
        <v>3</v>
      </c>
      <c r="M22" s="15">
        <v>0.75</v>
      </c>
      <c r="N22" s="15">
        <v>0.52083333333333304</v>
      </c>
      <c r="O22" s="15">
        <v>0.61111111111111105</v>
      </c>
      <c r="P22" s="15">
        <v>0.61109999999999998</v>
      </c>
      <c r="Q22" s="16">
        <f t="shared" si="0"/>
        <v>1.111111111107288E-5</v>
      </c>
      <c r="R22" s="10" t="s">
        <v>98</v>
      </c>
      <c r="S22" s="10" t="s">
        <v>143</v>
      </c>
    </row>
    <row r="23" spans="1:19" x14ac:dyDescent="0.2">
      <c r="A23" s="10" t="s">
        <v>144</v>
      </c>
      <c r="B23" s="10" t="s">
        <v>18</v>
      </c>
      <c r="C23" s="10" t="s">
        <v>132</v>
      </c>
      <c r="D23" s="10" t="s">
        <v>21</v>
      </c>
      <c r="E23" s="10">
        <v>42</v>
      </c>
      <c r="F23" s="10" t="s">
        <v>101</v>
      </c>
      <c r="G23" s="10" t="s">
        <v>93</v>
      </c>
      <c r="H23" s="10" t="s">
        <v>95</v>
      </c>
      <c r="I23" s="10" t="s">
        <v>96</v>
      </c>
      <c r="J23" s="10">
        <v>256</v>
      </c>
      <c r="K23" s="10" t="s">
        <v>97</v>
      </c>
      <c r="L23" s="10">
        <v>6</v>
      </c>
      <c r="M23" s="15">
        <v>0.23693132264560801</v>
      </c>
      <c r="N23" s="15">
        <v>0.83333333333333304</v>
      </c>
      <c r="O23" s="15">
        <v>0.43055555555555602</v>
      </c>
      <c r="P23" s="15">
        <v>0.4083</v>
      </c>
      <c r="Q23" s="16">
        <f t="shared" si="0"/>
        <v>2.2255555555556028E-2</v>
      </c>
      <c r="R23" s="10" t="s">
        <v>98</v>
      </c>
      <c r="S23" s="10" t="s">
        <v>145</v>
      </c>
    </row>
    <row r="24" spans="1:19" x14ac:dyDescent="0.2">
      <c r="A24" s="10" t="s">
        <v>146</v>
      </c>
      <c r="B24" s="10" t="s">
        <v>18</v>
      </c>
      <c r="C24" s="10" t="s">
        <v>132</v>
      </c>
      <c r="D24" s="10" t="s">
        <v>21</v>
      </c>
      <c r="E24" s="10">
        <v>42</v>
      </c>
      <c r="F24" s="10" t="s">
        <v>101</v>
      </c>
      <c r="G24" s="10" t="s">
        <v>94</v>
      </c>
      <c r="H24" s="10" t="s">
        <v>95</v>
      </c>
      <c r="I24" s="10" t="s">
        <v>96</v>
      </c>
      <c r="J24" s="10">
        <v>256</v>
      </c>
      <c r="K24" s="10" t="s">
        <v>97</v>
      </c>
      <c r="L24" s="10">
        <v>2</v>
      </c>
      <c r="M24" s="15">
        <v>0.242493815708101</v>
      </c>
      <c r="N24" s="15">
        <v>0.75</v>
      </c>
      <c r="O24" s="15">
        <v>0.75</v>
      </c>
      <c r="P24" s="15">
        <v>0.75</v>
      </c>
      <c r="Q24" s="16">
        <f t="shared" si="0"/>
        <v>0</v>
      </c>
      <c r="R24" s="10" t="s">
        <v>98</v>
      </c>
      <c r="S24" s="10" t="s">
        <v>147</v>
      </c>
    </row>
    <row r="25" spans="1:19" x14ac:dyDescent="0.2">
      <c r="A25" s="10" t="s">
        <v>148</v>
      </c>
      <c r="B25" s="10" t="s">
        <v>18</v>
      </c>
      <c r="C25" s="10" t="s">
        <v>132</v>
      </c>
      <c r="D25" s="10" t="s">
        <v>21</v>
      </c>
      <c r="E25" s="10">
        <v>42</v>
      </c>
      <c r="F25" s="10" t="s">
        <v>101</v>
      </c>
      <c r="G25" s="10" t="s">
        <v>104</v>
      </c>
      <c r="H25" s="10" t="s">
        <v>95</v>
      </c>
      <c r="I25" s="10" t="s">
        <v>96</v>
      </c>
      <c r="J25" s="10">
        <v>256</v>
      </c>
      <c r="K25" s="10" t="s">
        <v>97</v>
      </c>
      <c r="L25" s="10">
        <v>3</v>
      </c>
      <c r="M25" s="15">
        <v>0.23916361416361401</v>
      </c>
      <c r="N25" s="15">
        <v>0.5625</v>
      </c>
      <c r="O25" s="15">
        <v>0.61111111111111105</v>
      </c>
      <c r="P25" s="15">
        <v>0.61109999999999998</v>
      </c>
      <c r="Q25" s="16">
        <f t="shared" si="0"/>
        <v>1.111111111107288E-5</v>
      </c>
      <c r="R25" s="10" t="s">
        <v>98</v>
      </c>
      <c r="S25" s="10" t="s">
        <v>149</v>
      </c>
    </row>
    <row r="26" spans="1:19" x14ac:dyDescent="0.2">
      <c r="A26" s="10" t="s">
        <v>150</v>
      </c>
      <c r="B26" s="10" t="s">
        <v>18</v>
      </c>
      <c r="C26" s="10" t="s">
        <v>132</v>
      </c>
      <c r="D26" s="10" t="s">
        <v>21</v>
      </c>
      <c r="E26" s="10">
        <v>42</v>
      </c>
      <c r="F26" s="10" t="s">
        <v>104</v>
      </c>
      <c r="G26" s="10" t="s">
        <v>93</v>
      </c>
      <c r="H26" s="10" t="s">
        <v>95</v>
      </c>
      <c r="I26" s="10" t="s">
        <v>96</v>
      </c>
      <c r="J26" s="10">
        <v>256</v>
      </c>
      <c r="K26" s="10" t="s">
        <v>97</v>
      </c>
      <c r="L26" s="10">
        <v>6</v>
      </c>
      <c r="M26" s="15">
        <v>0.52083333333333304</v>
      </c>
      <c r="N26" s="15">
        <v>0.61111111111111105</v>
      </c>
      <c r="O26" s="15">
        <v>0.40833333333333299</v>
      </c>
      <c r="P26" s="15">
        <v>0.4083</v>
      </c>
      <c r="Q26" s="16">
        <f t="shared" si="0"/>
        <v>3.3333333332996595E-5</v>
      </c>
      <c r="R26" s="10" t="s">
        <v>98</v>
      </c>
      <c r="S26" s="10" t="s">
        <v>151</v>
      </c>
    </row>
    <row r="27" spans="1:19" x14ac:dyDescent="0.2">
      <c r="A27" s="10" t="s">
        <v>152</v>
      </c>
      <c r="B27" s="10" t="s">
        <v>18</v>
      </c>
      <c r="C27" s="10" t="s">
        <v>132</v>
      </c>
      <c r="D27" s="10" t="s">
        <v>21</v>
      </c>
      <c r="E27" s="10">
        <v>42</v>
      </c>
      <c r="F27" s="10" t="s">
        <v>104</v>
      </c>
      <c r="G27" s="10" t="s">
        <v>94</v>
      </c>
      <c r="H27" s="10" t="s">
        <v>95</v>
      </c>
      <c r="I27" s="10" t="s">
        <v>96</v>
      </c>
      <c r="J27" s="10">
        <v>256</v>
      </c>
      <c r="K27" s="10" t="s">
        <v>97</v>
      </c>
      <c r="L27" s="10">
        <v>2</v>
      </c>
      <c r="M27" s="15">
        <v>0.52083333333333304</v>
      </c>
      <c r="N27" s="15">
        <v>0.75</v>
      </c>
      <c r="O27" s="15">
        <v>0.75</v>
      </c>
      <c r="P27" s="15">
        <v>0.75</v>
      </c>
      <c r="Q27" s="16">
        <f t="shared" si="0"/>
        <v>0</v>
      </c>
      <c r="R27" s="10" t="s">
        <v>98</v>
      </c>
      <c r="S27" s="10" t="s">
        <v>153</v>
      </c>
    </row>
    <row r="28" spans="1:19" x14ac:dyDescent="0.2">
      <c r="A28" s="10" t="s">
        <v>154</v>
      </c>
      <c r="B28" s="10" t="s">
        <v>18</v>
      </c>
      <c r="C28" s="10" t="s">
        <v>132</v>
      </c>
      <c r="D28" s="10" t="s">
        <v>21</v>
      </c>
      <c r="E28" s="10">
        <v>42</v>
      </c>
      <c r="F28" s="10" t="s">
        <v>104</v>
      </c>
      <c r="G28" s="10" t="s">
        <v>101</v>
      </c>
      <c r="H28" s="10" t="s">
        <v>95</v>
      </c>
      <c r="I28" s="10" t="s">
        <v>96</v>
      </c>
      <c r="J28" s="10">
        <v>256</v>
      </c>
      <c r="K28" s="10" t="s">
        <v>97</v>
      </c>
      <c r="L28" s="10">
        <v>21</v>
      </c>
      <c r="M28" s="15">
        <v>0.52083333333333304</v>
      </c>
      <c r="N28" s="15">
        <v>0.238321995464853</v>
      </c>
      <c r="O28" s="15">
        <v>0.16955163184154801</v>
      </c>
      <c r="P28" s="15">
        <v>0.1736</v>
      </c>
      <c r="Q28" s="16">
        <f t="shared" si="0"/>
        <v>-4.0483681584519982E-3</v>
      </c>
      <c r="R28" s="10" t="s">
        <v>98</v>
      </c>
      <c r="S28" s="10" t="s">
        <v>155</v>
      </c>
    </row>
    <row r="29" spans="1:19" x14ac:dyDescent="0.2">
      <c r="A29" s="10" t="s">
        <v>156</v>
      </c>
      <c r="B29" s="10" t="s">
        <v>18</v>
      </c>
      <c r="C29" s="10" t="s">
        <v>157</v>
      </c>
      <c r="D29" s="10" t="s">
        <v>21</v>
      </c>
      <c r="E29" s="10">
        <v>42</v>
      </c>
      <c r="F29" s="10" t="s">
        <v>93</v>
      </c>
      <c r="G29" s="10" t="s">
        <v>94</v>
      </c>
      <c r="H29" s="10" t="s">
        <v>158</v>
      </c>
      <c r="I29" s="10" t="s">
        <v>96</v>
      </c>
      <c r="J29" s="10">
        <v>256</v>
      </c>
      <c r="K29" s="10" t="s">
        <v>97</v>
      </c>
      <c r="L29" s="10">
        <v>2</v>
      </c>
      <c r="M29" s="15">
        <v>0.77777777777777801</v>
      </c>
      <c r="N29" s="15">
        <v>0.75</v>
      </c>
      <c r="O29" s="15">
        <v>0.75</v>
      </c>
      <c r="P29" s="15">
        <v>0.75</v>
      </c>
      <c r="Q29" s="16">
        <f t="shared" si="0"/>
        <v>0</v>
      </c>
      <c r="R29" s="10" t="s">
        <v>98</v>
      </c>
      <c r="S29" s="10" t="s">
        <v>159</v>
      </c>
    </row>
    <row r="30" spans="1:19" x14ac:dyDescent="0.2">
      <c r="A30" s="10" t="s">
        <v>160</v>
      </c>
      <c r="B30" s="10" t="s">
        <v>18</v>
      </c>
      <c r="C30" s="10" t="s">
        <v>157</v>
      </c>
      <c r="D30" s="10" t="s">
        <v>21</v>
      </c>
      <c r="E30" s="10">
        <v>42</v>
      </c>
      <c r="F30" s="10" t="s">
        <v>93</v>
      </c>
      <c r="G30" s="10" t="s">
        <v>101</v>
      </c>
      <c r="H30" s="10" t="s">
        <v>158</v>
      </c>
      <c r="I30" s="10" t="s">
        <v>96</v>
      </c>
      <c r="J30" s="10">
        <v>256</v>
      </c>
      <c r="K30" s="10" t="s">
        <v>97</v>
      </c>
      <c r="L30" s="10">
        <v>21</v>
      </c>
      <c r="M30" s="15">
        <v>0.61111111111111105</v>
      </c>
      <c r="N30" s="15">
        <v>0.243563975706833</v>
      </c>
      <c r="O30" s="15">
        <v>0.16706290703415899</v>
      </c>
      <c r="P30" s="15">
        <v>0.1736</v>
      </c>
      <c r="Q30" s="16">
        <f t="shared" si="0"/>
        <v>-6.5370929658410126E-3</v>
      </c>
      <c r="R30" s="10" t="s">
        <v>98</v>
      </c>
      <c r="S30" s="10" t="s">
        <v>161</v>
      </c>
    </row>
    <row r="31" spans="1:19" x14ac:dyDescent="0.2">
      <c r="A31" s="10" t="s">
        <v>162</v>
      </c>
      <c r="B31" s="10" t="s">
        <v>18</v>
      </c>
      <c r="C31" s="10" t="s">
        <v>157</v>
      </c>
      <c r="D31" s="10" t="s">
        <v>21</v>
      </c>
      <c r="E31" s="10">
        <v>42</v>
      </c>
      <c r="F31" s="10" t="s">
        <v>93</v>
      </c>
      <c r="G31" s="10" t="s">
        <v>104</v>
      </c>
      <c r="H31" s="10" t="s">
        <v>158</v>
      </c>
      <c r="I31" s="10" t="s">
        <v>96</v>
      </c>
      <c r="J31" s="10">
        <v>256</v>
      </c>
      <c r="K31" s="10" t="s">
        <v>97</v>
      </c>
      <c r="L31" s="10">
        <v>3</v>
      </c>
      <c r="M31" s="15">
        <v>0.61111111111111105</v>
      </c>
      <c r="N31" s="15">
        <v>0.52083333333333304</v>
      </c>
      <c r="O31" s="15">
        <v>0.61111111111111105</v>
      </c>
      <c r="P31" s="15">
        <v>0.61109999999999998</v>
      </c>
      <c r="Q31" s="16">
        <f t="shared" si="0"/>
        <v>1.111111111107288E-5</v>
      </c>
      <c r="R31" s="10" t="s">
        <v>98</v>
      </c>
      <c r="S31" s="10" t="s">
        <v>163</v>
      </c>
    </row>
    <row r="32" spans="1:19" x14ac:dyDescent="0.2">
      <c r="A32" s="10" t="s">
        <v>164</v>
      </c>
      <c r="B32" s="10" t="s">
        <v>18</v>
      </c>
      <c r="C32" s="10" t="s">
        <v>157</v>
      </c>
      <c r="D32" s="10" t="s">
        <v>21</v>
      </c>
      <c r="E32" s="10">
        <v>42</v>
      </c>
      <c r="F32" s="10" t="s">
        <v>94</v>
      </c>
      <c r="G32" s="10" t="s">
        <v>93</v>
      </c>
      <c r="H32" s="10" t="s">
        <v>158</v>
      </c>
      <c r="I32" s="10" t="s">
        <v>96</v>
      </c>
      <c r="J32" s="10">
        <v>256</v>
      </c>
      <c r="K32" s="10" t="s">
        <v>97</v>
      </c>
      <c r="L32" s="10">
        <v>6</v>
      </c>
      <c r="M32" s="15">
        <v>0.75</v>
      </c>
      <c r="N32" s="15">
        <v>0.61111111111111105</v>
      </c>
      <c r="O32" s="15">
        <v>0.43611111111111101</v>
      </c>
      <c r="P32" s="15">
        <v>0.4083</v>
      </c>
      <c r="Q32" s="16">
        <f t="shared" si="0"/>
        <v>2.7811111111111009E-2</v>
      </c>
      <c r="R32" s="10" t="s">
        <v>98</v>
      </c>
      <c r="S32" s="10" t="s">
        <v>165</v>
      </c>
    </row>
    <row r="33" spans="1:19" x14ac:dyDescent="0.2">
      <c r="A33" s="10" t="s">
        <v>166</v>
      </c>
      <c r="B33" s="10" t="s">
        <v>18</v>
      </c>
      <c r="C33" s="10" t="s">
        <v>157</v>
      </c>
      <c r="D33" s="10" t="s">
        <v>21</v>
      </c>
      <c r="E33" s="10">
        <v>42</v>
      </c>
      <c r="F33" s="10" t="s">
        <v>94</v>
      </c>
      <c r="G33" s="10" t="s">
        <v>101</v>
      </c>
      <c r="H33" s="10" t="s">
        <v>158</v>
      </c>
      <c r="I33" s="10" t="s">
        <v>96</v>
      </c>
      <c r="J33" s="10">
        <v>256</v>
      </c>
      <c r="K33" s="10" t="s">
        <v>97</v>
      </c>
      <c r="L33" s="10">
        <v>21</v>
      </c>
      <c r="M33" s="15">
        <v>0.75</v>
      </c>
      <c r="N33" s="15">
        <v>0.229081632653061</v>
      </c>
      <c r="O33" s="15">
        <v>0.20247593393878199</v>
      </c>
      <c r="P33" s="15">
        <v>0.1736</v>
      </c>
      <c r="Q33" s="16">
        <f t="shared" si="0"/>
        <v>2.8875933938781989E-2</v>
      </c>
      <c r="R33" s="10" t="s">
        <v>98</v>
      </c>
      <c r="S33" s="10" t="s">
        <v>167</v>
      </c>
    </row>
    <row r="34" spans="1:19" x14ac:dyDescent="0.2">
      <c r="A34" s="10" t="s">
        <v>168</v>
      </c>
      <c r="B34" s="10" t="s">
        <v>18</v>
      </c>
      <c r="C34" s="10" t="s">
        <v>157</v>
      </c>
      <c r="D34" s="10" t="s">
        <v>21</v>
      </c>
      <c r="E34" s="10">
        <v>42</v>
      </c>
      <c r="F34" s="10" t="s">
        <v>94</v>
      </c>
      <c r="G34" s="10" t="s">
        <v>104</v>
      </c>
      <c r="H34" s="10" t="s">
        <v>158</v>
      </c>
      <c r="I34" s="10" t="s">
        <v>96</v>
      </c>
      <c r="J34" s="10">
        <v>256</v>
      </c>
      <c r="K34" s="10" t="s">
        <v>97</v>
      </c>
      <c r="L34" s="10">
        <v>3</v>
      </c>
      <c r="M34" s="15">
        <v>0.75</v>
      </c>
      <c r="N34" s="15">
        <v>0.52083333333333304</v>
      </c>
      <c r="O34" s="15">
        <v>0.61111111111111105</v>
      </c>
      <c r="P34" s="15">
        <v>0.61109999999999998</v>
      </c>
      <c r="Q34" s="16">
        <f t="shared" ref="Q34:Q65" si="1">IF(AND(ISNUMBER(O34),ISNUMBER(P34)),O34-P34,"")</f>
        <v>1.111111111107288E-5</v>
      </c>
      <c r="R34" s="10" t="s">
        <v>98</v>
      </c>
      <c r="S34" s="10" t="s">
        <v>169</v>
      </c>
    </row>
    <row r="35" spans="1:19" x14ac:dyDescent="0.2">
      <c r="A35" s="10" t="s">
        <v>170</v>
      </c>
      <c r="B35" s="10" t="s">
        <v>18</v>
      </c>
      <c r="C35" s="10" t="s">
        <v>157</v>
      </c>
      <c r="D35" s="10" t="s">
        <v>21</v>
      </c>
      <c r="E35" s="10">
        <v>42</v>
      </c>
      <c r="F35" s="10" t="s">
        <v>101</v>
      </c>
      <c r="G35" s="10" t="s">
        <v>93</v>
      </c>
      <c r="H35" s="10" t="s">
        <v>158</v>
      </c>
      <c r="I35" s="10" t="s">
        <v>96</v>
      </c>
      <c r="J35" s="10">
        <v>256</v>
      </c>
      <c r="K35" s="10" t="s">
        <v>97</v>
      </c>
      <c r="L35" s="10">
        <v>6</v>
      </c>
      <c r="M35" s="15">
        <v>0.229682024324881</v>
      </c>
      <c r="N35" s="15">
        <v>0.61111111111111105</v>
      </c>
      <c r="O35" s="15">
        <v>0.43055555555555602</v>
      </c>
      <c r="P35" s="15">
        <v>0.4083</v>
      </c>
      <c r="Q35" s="16">
        <f t="shared" si="1"/>
        <v>2.2255555555556028E-2</v>
      </c>
      <c r="R35" s="10" t="s">
        <v>98</v>
      </c>
      <c r="S35" s="10" t="s">
        <v>171</v>
      </c>
    </row>
    <row r="36" spans="1:19" x14ac:dyDescent="0.2">
      <c r="A36" s="10" t="s">
        <v>172</v>
      </c>
      <c r="B36" s="10" t="s">
        <v>18</v>
      </c>
      <c r="C36" s="10" t="s">
        <v>157</v>
      </c>
      <c r="D36" s="10" t="s">
        <v>21</v>
      </c>
      <c r="E36" s="10">
        <v>42</v>
      </c>
      <c r="F36" s="10" t="s">
        <v>101</v>
      </c>
      <c r="G36" s="10" t="s">
        <v>94</v>
      </c>
      <c r="H36" s="10" t="s">
        <v>158</v>
      </c>
      <c r="I36" s="10" t="s">
        <v>96</v>
      </c>
      <c r="J36" s="10">
        <v>256</v>
      </c>
      <c r="K36" s="10" t="s">
        <v>97</v>
      </c>
      <c r="L36" s="10">
        <v>2</v>
      </c>
      <c r="M36" s="15">
        <v>0.229682024324881</v>
      </c>
      <c r="N36" s="15">
        <v>0.75</v>
      </c>
      <c r="O36" s="15">
        <v>0.75</v>
      </c>
      <c r="P36" s="15">
        <v>0.75</v>
      </c>
      <c r="Q36" s="16">
        <f t="shared" si="1"/>
        <v>0</v>
      </c>
      <c r="R36" s="10" t="s">
        <v>98</v>
      </c>
      <c r="S36" s="10" t="s">
        <v>173</v>
      </c>
    </row>
    <row r="37" spans="1:19" x14ac:dyDescent="0.2">
      <c r="A37" s="10" t="s">
        <v>174</v>
      </c>
      <c r="B37" s="10" t="s">
        <v>18</v>
      </c>
      <c r="C37" s="10" t="s">
        <v>157</v>
      </c>
      <c r="D37" s="10" t="s">
        <v>21</v>
      </c>
      <c r="E37" s="10">
        <v>42</v>
      </c>
      <c r="F37" s="10" t="s">
        <v>101</v>
      </c>
      <c r="G37" s="10" t="s">
        <v>104</v>
      </c>
      <c r="H37" s="10" t="s">
        <v>158</v>
      </c>
      <c r="I37" s="10" t="s">
        <v>96</v>
      </c>
      <c r="J37" s="10">
        <v>256</v>
      </c>
      <c r="K37" s="10" t="s">
        <v>97</v>
      </c>
      <c r="L37" s="10">
        <v>3</v>
      </c>
      <c r="M37" s="15">
        <v>0.229682024324881</v>
      </c>
      <c r="N37" s="15">
        <v>0.39583333333333298</v>
      </c>
      <c r="O37" s="15">
        <v>0.61111111111111105</v>
      </c>
      <c r="P37" s="15">
        <v>0.61109999999999998</v>
      </c>
      <c r="Q37" s="16">
        <f t="shared" si="1"/>
        <v>1.111111111107288E-5</v>
      </c>
      <c r="R37" s="10" t="s">
        <v>98</v>
      </c>
      <c r="S37" s="10" t="s">
        <v>175</v>
      </c>
    </row>
    <row r="38" spans="1:19" x14ac:dyDescent="0.2">
      <c r="A38" s="10" t="s">
        <v>176</v>
      </c>
      <c r="B38" s="10" t="s">
        <v>18</v>
      </c>
      <c r="C38" s="10" t="s">
        <v>157</v>
      </c>
      <c r="D38" s="10" t="s">
        <v>21</v>
      </c>
      <c r="E38" s="10">
        <v>42</v>
      </c>
      <c r="F38" s="10" t="s">
        <v>104</v>
      </c>
      <c r="G38" s="10" t="s">
        <v>93</v>
      </c>
      <c r="H38" s="10" t="s">
        <v>158</v>
      </c>
      <c r="I38" s="10" t="s">
        <v>96</v>
      </c>
      <c r="J38" s="10">
        <v>256</v>
      </c>
      <c r="K38" s="10" t="s">
        <v>97</v>
      </c>
      <c r="L38" s="10">
        <v>6</v>
      </c>
      <c r="M38" s="15">
        <v>0.52083333333333304</v>
      </c>
      <c r="N38" s="15">
        <v>0.61111111111111105</v>
      </c>
      <c r="O38" s="15">
        <v>0.49166666666666697</v>
      </c>
      <c r="P38" s="15">
        <v>0.4083</v>
      </c>
      <c r="Q38" s="16">
        <f t="shared" si="1"/>
        <v>8.3366666666666978E-2</v>
      </c>
      <c r="R38" s="10" t="s">
        <v>98</v>
      </c>
      <c r="S38" s="10" t="s">
        <v>177</v>
      </c>
    </row>
    <row r="39" spans="1:19" x14ac:dyDescent="0.2">
      <c r="A39" s="10" t="s">
        <v>178</v>
      </c>
      <c r="B39" s="10" t="s">
        <v>18</v>
      </c>
      <c r="C39" s="10" t="s">
        <v>157</v>
      </c>
      <c r="D39" s="10" t="s">
        <v>21</v>
      </c>
      <c r="E39" s="10">
        <v>42</v>
      </c>
      <c r="F39" s="10" t="s">
        <v>104</v>
      </c>
      <c r="G39" s="10" t="s">
        <v>94</v>
      </c>
      <c r="H39" s="10" t="s">
        <v>158</v>
      </c>
      <c r="I39" s="10" t="s">
        <v>96</v>
      </c>
      <c r="J39" s="10">
        <v>256</v>
      </c>
      <c r="K39" s="10" t="s">
        <v>97</v>
      </c>
      <c r="L39" s="10">
        <v>2</v>
      </c>
      <c r="M39" s="15">
        <v>0.52083333333333304</v>
      </c>
      <c r="N39" s="15">
        <v>0.75</v>
      </c>
      <c r="O39" s="15">
        <v>0.75</v>
      </c>
      <c r="P39" s="15">
        <v>0.75</v>
      </c>
      <c r="Q39" s="16">
        <f t="shared" si="1"/>
        <v>0</v>
      </c>
      <c r="R39" s="10" t="s">
        <v>98</v>
      </c>
      <c r="S39" s="10" t="s">
        <v>179</v>
      </c>
    </row>
    <row r="40" spans="1:19" x14ac:dyDescent="0.2">
      <c r="A40" s="10" t="s">
        <v>180</v>
      </c>
      <c r="B40" s="10" t="s">
        <v>18</v>
      </c>
      <c r="C40" s="10" t="s">
        <v>157</v>
      </c>
      <c r="D40" s="10" t="s">
        <v>21</v>
      </c>
      <c r="E40" s="10">
        <v>42</v>
      </c>
      <c r="F40" s="10" t="s">
        <v>104</v>
      </c>
      <c r="G40" s="10" t="s">
        <v>101</v>
      </c>
      <c r="H40" s="10" t="s">
        <v>158</v>
      </c>
      <c r="I40" s="10" t="s">
        <v>96</v>
      </c>
      <c r="J40" s="10">
        <v>256</v>
      </c>
      <c r="K40" s="10" t="s">
        <v>97</v>
      </c>
      <c r="L40" s="10">
        <v>21</v>
      </c>
      <c r="M40" s="15">
        <v>0.52083333333333304</v>
      </c>
      <c r="N40" s="15">
        <v>0.21871263656977899</v>
      </c>
      <c r="O40" s="15">
        <v>0.166577927740024</v>
      </c>
      <c r="P40" s="15">
        <v>0.1736</v>
      </c>
      <c r="Q40" s="16">
        <f t="shared" si="1"/>
        <v>-7.0220722599760033E-3</v>
      </c>
      <c r="R40" s="10" t="s">
        <v>98</v>
      </c>
      <c r="S40" s="10" t="s">
        <v>181</v>
      </c>
    </row>
    <row r="41" spans="1:19" x14ac:dyDescent="0.2">
      <c r="A41" s="10" t="s">
        <v>182</v>
      </c>
      <c r="B41" s="10" t="s">
        <v>23</v>
      </c>
      <c r="C41" s="10" t="s">
        <v>183</v>
      </c>
      <c r="D41" s="14" t="s">
        <v>29</v>
      </c>
      <c r="E41" s="10">
        <v>42</v>
      </c>
      <c r="F41" s="10" t="s">
        <v>93</v>
      </c>
      <c r="G41" s="10" t="s">
        <v>94</v>
      </c>
      <c r="H41" s="10" t="s">
        <v>95</v>
      </c>
      <c r="I41" s="10" t="s">
        <v>184</v>
      </c>
      <c r="J41" s="10">
        <v>1024</v>
      </c>
      <c r="K41" s="10" t="s">
        <v>97</v>
      </c>
      <c r="L41" s="10">
        <v>2</v>
      </c>
      <c r="M41" s="15">
        <v>0.61111111111111105</v>
      </c>
      <c r="N41" s="15">
        <v>0.75</v>
      </c>
      <c r="O41" s="15">
        <v>0.75</v>
      </c>
      <c r="P41" s="15">
        <v>0.75</v>
      </c>
      <c r="Q41" s="16">
        <f t="shared" si="1"/>
        <v>0</v>
      </c>
      <c r="R41" s="10" t="s">
        <v>185</v>
      </c>
      <c r="S41" s="10" t="s">
        <v>186</v>
      </c>
    </row>
    <row r="42" spans="1:19" x14ac:dyDescent="0.2">
      <c r="A42" s="10" t="s">
        <v>187</v>
      </c>
      <c r="B42" s="10" t="s">
        <v>23</v>
      </c>
      <c r="C42" s="10" t="s">
        <v>183</v>
      </c>
      <c r="D42" s="14" t="s">
        <v>29</v>
      </c>
      <c r="E42" s="10">
        <v>42</v>
      </c>
      <c r="F42" s="10" t="s">
        <v>93</v>
      </c>
      <c r="G42" s="10" t="s">
        <v>104</v>
      </c>
      <c r="H42" s="10" t="s">
        <v>95</v>
      </c>
      <c r="I42" s="10" t="s">
        <v>184</v>
      </c>
      <c r="J42" s="10">
        <v>1024</v>
      </c>
      <c r="K42" s="10" t="s">
        <v>97</v>
      </c>
      <c r="L42" s="10">
        <v>3</v>
      </c>
      <c r="M42" s="15">
        <v>0.61111111111111105</v>
      </c>
      <c r="N42" s="15">
        <v>0.58333333333333304</v>
      </c>
      <c r="O42" s="15">
        <v>0.83333333333333304</v>
      </c>
      <c r="P42" s="15">
        <v>0.61109999999999998</v>
      </c>
      <c r="Q42" s="16">
        <f t="shared" si="1"/>
        <v>0.22223333333333306</v>
      </c>
      <c r="R42" s="10" t="s">
        <v>185</v>
      </c>
      <c r="S42" s="10" t="s">
        <v>188</v>
      </c>
    </row>
    <row r="43" spans="1:19" x14ac:dyDescent="0.2">
      <c r="A43" s="10" t="s">
        <v>189</v>
      </c>
      <c r="B43" s="10" t="s">
        <v>23</v>
      </c>
      <c r="C43" s="10" t="s">
        <v>183</v>
      </c>
      <c r="D43" s="14" t="s">
        <v>29</v>
      </c>
      <c r="E43" s="10">
        <v>42</v>
      </c>
      <c r="F43" s="10" t="s">
        <v>94</v>
      </c>
      <c r="G43" s="10" t="s">
        <v>93</v>
      </c>
      <c r="H43" s="10" t="s">
        <v>95</v>
      </c>
      <c r="I43" s="10" t="s">
        <v>184</v>
      </c>
      <c r="J43" s="10">
        <v>1024</v>
      </c>
      <c r="K43" s="10" t="s">
        <v>97</v>
      </c>
      <c r="L43" s="10">
        <v>6</v>
      </c>
      <c r="M43" s="15">
        <v>0.75</v>
      </c>
      <c r="N43" s="15">
        <v>0.61111111111111105</v>
      </c>
      <c r="O43" s="15">
        <v>0.51944444444444404</v>
      </c>
      <c r="P43" s="15">
        <v>0.4083</v>
      </c>
      <c r="Q43" s="16">
        <f t="shared" si="1"/>
        <v>0.11114444444444405</v>
      </c>
      <c r="R43" s="10" t="s">
        <v>185</v>
      </c>
      <c r="S43" s="10" t="s">
        <v>190</v>
      </c>
    </row>
    <row r="44" spans="1:19" x14ac:dyDescent="0.2">
      <c r="A44" s="10" t="s">
        <v>191</v>
      </c>
      <c r="B44" s="10" t="s">
        <v>23</v>
      </c>
      <c r="C44" s="10" t="s">
        <v>183</v>
      </c>
      <c r="D44" s="14" t="s">
        <v>29</v>
      </c>
      <c r="E44" s="10">
        <v>42</v>
      </c>
      <c r="F44" s="10" t="s">
        <v>94</v>
      </c>
      <c r="G44" s="10" t="s">
        <v>104</v>
      </c>
      <c r="H44" s="10" t="s">
        <v>95</v>
      </c>
      <c r="I44" s="10" t="s">
        <v>184</v>
      </c>
      <c r="J44" s="10">
        <v>1024</v>
      </c>
      <c r="K44" s="10" t="s">
        <v>97</v>
      </c>
      <c r="L44" s="10">
        <v>3</v>
      </c>
      <c r="M44" s="15">
        <v>0.75</v>
      </c>
      <c r="N44" s="15">
        <v>0.6875</v>
      </c>
      <c r="O44" s="15">
        <v>0.83333333333333304</v>
      </c>
      <c r="P44" s="15">
        <v>0.61109999999999998</v>
      </c>
      <c r="Q44" s="16">
        <f t="shared" si="1"/>
        <v>0.22223333333333306</v>
      </c>
      <c r="R44" s="10" t="s">
        <v>185</v>
      </c>
      <c r="S44" s="10" t="s">
        <v>192</v>
      </c>
    </row>
    <row r="45" spans="1:19" x14ac:dyDescent="0.2">
      <c r="A45" s="10" t="s">
        <v>193</v>
      </c>
      <c r="B45" s="10" t="s">
        <v>23</v>
      </c>
      <c r="C45" s="10" t="s">
        <v>183</v>
      </c>
      <c r="D45" s="14" t="s">
        <v>29</v>
      </c>
      <c r="E45" s="10">
        <v>42</v>
      </c>
      <c r="F45" s="10" t="s">
        <v>101</v>
      </c>
      <c r="G45" s="10" t="s">
        <v>93</v>
      </c>
      <c r="H45" s="10" t="s">
        <v>95</v>
      </c>
      <c r="I45" s="10" t="s">
        <v>184</v>
      </c>
      <c r="J45" s="10">
        <v>1024</v>
      </c>
      <c r="K45" s="10" t="s">
        <v>97</v>
      </c>
      <c r="L45" s="10">
        <v>6</v>
      </c>
      <c r="M45" s="15">
        <v>0.92857142857142905</v>
      </c>
      <c r="N45" s="15">
        <v>1</v>
      </c>
      <c r="O45" s="15">
        <v>0.91666666666666696</v>
      </c>
      <c r="P45" s="15">
        <v>0.4083</v>
      </c>
      <c r="Q45" s="16">
        <f t="shared" si="1"/>
        <v>0.50836666666666697</v>
      </c>
      <c r="R45" s="10" t="s">
        <v>185</v>
      </c>
      <c r="S45" s="10" t="s">
        <v>194</v>
      </c>
    </row>
    <row r="46" spans="1:19" x14ac:dyDescent="0.2">
      <c r="A46" s="10" t="s">
        <v>195</v>
      </c>
      <c r="B46" s="10" t="s">
        <v>23</v>
      </c>
      <c r="C46" s="10" t="s">
        <v>183</v>
      </c>
      <c r="D46" s="14" t="s">
        <v>29</v>
      </c>
      <c r="E46" s="10">
        <v>42</v>
      </c>
      <c r="F46" s="10" t="s">
        <v>101</v>
      </c>
      <c r="G46" s="10" t="s">
        <v>94</v>
      </c>
      <c r="H46" s="10" t="s">
        <v>95</v>
      </c>
      <c r="I46" s="10" t="s">
        <v>184</v>
      </c>
      <c r="J46" s="10">
        <v>1024</v>
      </c>
      <c r="K46" s="10" t="s">
        <v>97</v>
      </c>
      <c r="L46" s="10">
        <v>2</v>
      </c>
      <c r="M46" s="15">
        <v>0.92857142857142905</v>
      </c>
      <c r="N46" s="15">
        <v>1</v>
      </c>
      <c r="O46" s="15">
        <v>1</v>
      </c>
      <c r="P46" s="15">
        <v>0.75</v>
      </c>
      <c r="Q46" s="16">
        <f t="shared" si="1"/>
        <v>0.25</v>
      </c>
      <c r="R46" s="10" t="s">
        <v>185</v>
      </c>
      <c r="S46" s="10" t="s">
        <v>196</v>
      </c>
    </row>
    <row r="47" spans="1:19" x14ac:dyDescent="0.2">
      <c r="A47" s="10" t="s">
        <v>197</v>
      </c>
      <c r="B47" s="10" t="s">
        <v>23</v>
      </c>
      <c r="C47" s="10" t="s">
        <v>183</v>
      </c>
      <c r="D47" s="14" t="s">
        <v>29</v>
      </c>
      <c r="E47" s="10">
        <v>42</v>
      </c>
      <c r="F47" s="10" t="s">
        <v>101</v>
      </c>
      <c r="G47" s="10" t="s">
        <v>104</v>
      </c>
      <c r="H47" s="10" t="s">
        <v>95</v>
      </c>
      <c r="I47" s="10" t="s">
        <v>184</v>
      </c>
      <c r="J47" s="10">
        <v>1024</v>
      </c>
      <c r="K47" s="10" t="s">
        <v>97</v>
      </c>
      <c r="L47" s="10">
        <v>3</v>
      </c>
      <c r="M47" s="15">
        <v>0.89285714285714302</v>
      </c>
      <c r="N47" s="15">
        <v>1</v>
      </c>
      <c r="O47" s="15">
        <v>1</v>
      </c>
      <c r="P47" s="15">
        <v>0.61109999999999998</v>
      </c>
      <c r="Q47" s="16">
        <f t="shared" si="1"/>
        <v>0.38890000000000002</v>
      </c>
      <c r="R47" s="10" t="s">
        <v>185</v>
      </c>
      <c r="S47" s="10" t="s">
        <v>198</v>
      </c>
    </row>
    <row r="48" spans="1:19" x14ac:dyDescent="0.2">
      <c r="A48" s="10" t="s">
        <v>199</v>
      </c>
      <c r="B48" s="10" t="s">
        <v>23</v>
      </c>
      <c r="C48" s="10" t="s">
        <v>183</v>
      </c>
      <c r="D48" s="14" t="s">
        <v>29</v>
      </c>
      <c r="E48" s="10">
        <v>42</v>
      </c>
      <c r="F48" s="10" t="s">
        <v>104</v>
      </c>
      <c r="G48" s="10" t="s">
        <v>93</v>
      </c>
      <c r="H48" s="10" t="s">
        <v>95</v>
      </c>
      <c r="I48" s="10" t="s">
        <v>184</v>
      </c>
      <c r="J48" s="10">
        <v>1024</v>
      </c>
      <c r="K48" s="10" t="s">
        <v>97</v>
      </c>
      <c r="L48" s="10">
        <v>6</v>
      </c>
      <c r="M48" s="15">
        <v>0.70833333333333304</v>
      </c>
      <c r="N48" s="15">
        <v>0.44444444444444398</v>
      </c>
      <c r="O48" s="15">
        <v>0.65833333333333299</v>
      </c>
      <c r="P48" s="15">
        <v>0.4083</v>
      </c>
      <c r="Q48" s="16">
        <f t="shared" si="1"/>
        <v>0.250033333333333</v>
      </c>
      <c r="R48" s="10" t="s">
        <v>185</v>
      </c>
      <c r="S48" s="10" t="s">
        <v>200</v>
      </c>
    </row>
    <row r="49" spans="1:19" x14ac:dyDescent="0.2">
      <c r="A49" s="10" t="s">
        <v>201</v>
      </c>
      <c r="B49" s="10" t="s">
        <v>23</v>
      </c>
      <c r="C49" s="10" t="s">
        <v>183</v>
      </c>
      <c r="D49" s="14" t="s">
        <v>29</v>
      </c>
      <c r="E49" s="10">
        <v>42</v>
      </c>
      <c r="F49" s="10" t="s">
        <v>104</v>
      </c>
      <c r="G49" s="10" t="s">
        <v>94</v>
      </c>
      <c r="H49" s="10" t="s">
        <v>95</v>
      </c>
      <c r="I49" s="10" t="s">
        <v>184</v>
      </c>
      <c r="J49" s="10">
        <v>1024</v>
      </c>
      <c r="K49" s="10" t="s">
        <v>97</v>
      </c>
      <c r="L49" s="10">
        <v>2</v>
      </c>
      <c r="M49" s="15">
        <v>0.70833333333333304</v>
      </c>
      <c r="N49" s="15">
        <v>0.75</v>
      </c>
      <c r="O49" s="15">
        <v>1</v>
      </c>
      <c r="P49" s="15">
        <v>0.75</v>
      </c>
      <c r="Q49" s="16">
        <f t="shared" si="1"/>
        <v>0.25</v>
      </c>
      <c r="R49" s="10" t="s">
        <v>185</v>
      </c>
      <c r="S49" s="10" t="s">
        <v>202</v>
      </c>
    </row>
    <row r="50" spans="1:19" x14ac:dyDescent="0.2">
      <c r="A50" s="10" t="s">
        <v>203</v>
      </c>
      <c r="B50" s="10" t="s">
        <v>23</v>
      </c>
      <c r="C50" s="10" t="s">
        <v>204</v>
      </c>
      <c r="D50" s="14" t="s">
        <v>29</v>
      </c>
      <c r="E50" s="10">
        <v>42</v>
      </c>
      <c r="F50" s="10" t="s">
        <v>93</v>
      </c>
      <c r="G50" s="10" t="s">
        <v>94</v>
      </c>
      <c r="H50" s="10" t="s">
        <v>95</v>
      </c>
      <c r="I50" s="10" t="s">
        <v>184</v>
      </c>
      <c r="J50" s="10">
        <v>2048</v>
      </c>
      <c r="K50" s="10" t="s">
        <v>97</v>
      </c>
      <c r="L50" s="10">
        <v>2</v>
      </c>
      <c r="M50" s="15">
        <v>0.77777777777777801</v>
      </c>
      <c r="N50" s="15">
        <v>1</v>
      </c>
      <c r="O50" s="15">
        <v>0.75</v>
      </c>
      <c r="P50" s="15">
        <v>0.75</v>
      </c>
      <c r="Q50" s="16">
        <f t="shared" si="1"/>
        <v>0</v>
      </c>
      <c r="R50" s="10" t="s">
        <v>185</v>
      </c>
      <c r="S50" s="10" t="s">
        <v>205</v>
      </c>
    </row>
    <row r="51" spans="1:19" x14ac:dyDescent="0.2">
      <c r="A51" s="10" t="s">
        <v>206</v>
      </c>
      <c r="B51" s="10" t="s">
        <v>23</v>
      </c>
      <c r="C51" s="10" t="s">
        <v>204</v>
      </c>
      <c r="D51" s="14" t="s">
        <v>29</v>
      </c>
      <c r="E51" s="10">
        <v>42</v>
      </c>
      <c r="F51" s="10" t="s">
        <v>93</v>
      </c>
      <c r="G51" s="10" t="s">
        <v>104</v>
      </c>
      <c r="H51" s="10" t="s">
        <v>95</v>
      </c>
      <c r="I51" s="10" t="s">
        <v>184</v>
      </c>
      <c r="J51" s="10">
        <v>2048</v>
      </c>
      <c r="K51" s="10" t="s">
        <v>97</v>
      </c>
      <c r="L51" s="10">
        <v>3</v>
      </c>
      <c r="M51" s="15">
        <v>0.77777777777777801</v>
      </c>
      <c r="N51" s="15">
        <v>0.5625</v>
      </c>
      <c r="O51" s="15">
        <v>1</v>
      </c>
      <c r="P51" s="15">
        <v>0.61109999999999998</v>
      </c>
      <c r="Q51" s="16">
        <f t="shared" si="1"/>
        <v>0.38890000000000002</v>
      </c>
      <c r="R51" s="10" t="s">
        <v>185</v>
      </c>
      <c r="S51" s="10" t="s">
        <v>207</v>
      </c>
    </row>
    <row r="52" spans="1:19" x14ac:dyDescent="0.2">
      <c r="A52" s="10" t="s">
        <v>208</v>
      </c>
      <c r="B52" s="10" t="s">
        <v>23</v>
      </c>
      <c r="C52" s="10" t="s">
        <v>204</v>
      </c>
      <c r="D52" s="14" t="s">
        <v>29</v>
      </c>
      <c r="E52" s="10">
        <v>42</v>
      </c>
      <c r="F52" s="10" t="s">
        <v>94</v>
      </c>
      <c r="G52" s="10" t="s">
        <v>93</v>
      </c>
      <c r="H52" s="10" t="s">
        <v>95</v>
      </c>
      <c r="I52" s="10" t="s">
        <v>184</v>
      </c>
      <c r="J52" s="10">
        <v>2048</v>
      </c>
      <c r="K52" s="10" t="s">
        <v>97</v>
      </c>
      <c r="L52" s="10">
        <v>6</v>
      </c>
      <c r="M52" s="15">
        <v>0.75</v>
      </c>
      <c r="N52" s="15">
        <v>1</v>
      </c>
      <c r="O52" s="15">
        <v>0.91666666666666696</v>
      </c>
      <c r="P52" s="15">
        <v>0.4083</v>
      </c>
      <c r="Q52" s="16">
        <f t="shared" si="1"/>
        <v>0.50836666666666697</v>
      </c>
      <c r="R52" s="10" t="s">
        <v>185</v>
      </c>
      <c r="S52" s="10" t="s">
        <v>209</v>
      </c>
    </row>
    <row r="53" spans="1:19" x14ac:dyDescent="0.2">
      <c r="A53" s="10" t="s">
        <v>210</v>
      </c>
      <c r="B53" s="10" t="s">
        <v>23</v>
      </c>
      <c r="C53" s="10" t="s">
        <v>204</v>
      </c>
      <c r="D53" s="14" t="s">
        <v>29</v>
      </c>
      <c r="E53" s="10">
        <v>42</v>
      </c>
      <c r="F53" s="10" t="s">
        <v>94</v>
      </c>
      <c r="G53" s="10" t="s">
        <v>104</v>
      </c>
      <c r="H53" s="10" t="s">
        <v>95</v>
      </c>
      <c r="I53" s="10" t="s">
        <v>184</v>
      </c>
      <c r="J53" s="10">
        <v>2048</v>
      </c>
      <c r="K53" s="10" t="s">
        <v>97</v>
      </c>
      <c r="L53" s="10">
        <v>3</v>
      </c>
      <c r="M53" s="15">
        <v>0.75</v>
      </c>
      <c r="N53" s="15">
        <v>0.5625</v>
      </c>
      <c r="O53" s="15">
        <v>1</v>
      </c>
      <c r="P53" s="15">
        <v>0.61109999999999998</v>
      </c>
      <c r="Q53" s="16">
        <f t="shared" si="1"/>
        <v>0.38890000000000002</v>
      </c>
      <c r="R53" s="10" t="s">
        <v>185</v>
      </c>
      <c r="S53" s="10" t="s">
        <v>211</v>
      </c>
    </row>
    <row r="54" spans="1:19" x14ac:dyDescent="0.2">
      <c r="A54" s="10" t="s">
        <v>212</v>
      </c>
      <c r="B54" s="10" t="s">
        <v>23</v>
      </c>
      <c r="C54" s="10" t="s">
        <v>204</v>
      </c>
      <c r="D54" s="14" t="s">
        <v>29</v>
      </c>
      <c r="E54" s="10">
        <v>42</v>
      </c>
      <c r="F54" s="10" t="s">
        <v>101</v>
      </c>
      <c r="G54" s="10" t="s">
        <v>93</v>
      </c>
      <c r="H54" s="10" t="s">
        <v>95</v>
      </c>
      <c r="I54" s="10" t="s">
        <v>184</v>
      </c>
      <c r="J54" s="10">
        <v>2048</v>
      </c>
      <c r="K54" s="10" t="s">
        <v>97</v>
      </c>
      <c r="L54" s="10">
        <v>6</v>
      </c>
      <c r="M54" s="15">
        <v>0.86904761904761896</v>
      </c>
      <c r="N54" s="15">
        <v>1</v>
      </c>
      <c r="O54" s="15">
        <v>0.83333333333333304</v>
      </c>
      <c r="P54" s="15">
        <v>0.4083</v>
      </c>
      <c r="Q54" s="16">
        <f t="shared" si="1"/>
        <v>0.42503333333333304</v>
      </c>
      <c r="R54" s="10" t="s">
        <v>185</v>
      </c>
      <c r="S54" s="10" t="s">
        <v>213</v>
      </c>
    </row>
    <row r="55" spans="1:19" x14ac:dyDescent="0.2">
      <c r="A55" s="10" t="s">
        <v>214</v>
      </c>
      <c r="B55" s="10" t="s">
        <v>23</v>
      </c>
      <c r="C55" s="10" t="s">
        <v>204</v>
      </c>
      <c r="D55" s="14" t="s">
        <v>29</v>
      </c>
      <c r="E55" s="10">
        <v>42</v>
      </c>
      <c r="F55" s="10" t="s">
        <v>101</v>
      </c>
      <c r="G55" s="10" t="s">
        <v>94</v>
      </c>
      <c r="H55" s="10" t="s">
        <v>95</v>
      </c>
      <c r="I55" s="10" t="s">
        <v>184</v>
      </c>
      <c r="J55" s="10">
        <v>2048</v>
      </c>
      <c r="K55" s="10" t="s">
        <v>97</v>
      </c>
      <c r="L55" s="10">
        <v>2</v>
      </c>
      <c r="M55" s="15">
        <v>0.86904761904761896</v>
      </c>
      <c r="N55" s="15">
        <v>1</v>
      </c>
      <c r="O55" s="15">
        <v>1</v>
      </c>
      <c r="P55" s="15">
        <v>0.75</v>
      </c>
      <c r="Q55" s="16">
        <f t="shared" si="1"/>
        <v>0.25</v>
      </c>
      <c r="R55" s="10" t="s">
        <v>185</v>
      </c>
      <c r="S55" s="10" t="s">
        <v>215</v>
      </c>
    </row>
    <row r="56" spans="1:19" x14ac:dyDescent="0.2">
      <c r="A56" s="10" t="s">
        <v>216</v>
      </c>
      <c r="B56" s="10" t="s">
        <v>23</v>
      </c>
      <c r="C56" s="10" t="s">
        <v>204</v>
      </c>
      <c r="D56" s="14" t="s">
        <v>29</v>
      </c>
      <c r="E56" s="10">
        <v>42</v>
      </c>
      <c r="F56" s="10" t="s">
        <v>101</v>
      </c>
      <c r="G56" s="10" t="s">
        <v>104</v>
      </c>
      <c r="H56" s="10" t="s">
        <v>95</v>
      </c>
      <c r="I56" s="10" t="s">
        <v>184</v>
      </c>
      <c r="J56" s="10">
        <v>2048</v>
      </c>
      <c r="K56" s="10" t="s">
        <v>97</v>
      </c>
      <c r="L56" s="10">
        <v>3</v>
      </c>
      <c r="M56" s="15">
        <v>0.86904761904761896</v>
      </c>
      <c r="N56" s="15">
        <v>1</v>
      </c>
      <c r="O56" s="15">
        <v>1</v>
      </c>
      <c r="P56" s="15">
        <v>0.61109999999999998</v>
      </c>
      <c r="Q56" s="16">
        <f t="shared" si="1"/>
        <v>0.38890000000000002</v>
      </c>
      <c r="R56" s="10" t="s">
        <v>185</v>
      </c>
      <c r="S56" s="10" t="s">
        <v>217</v>
      </c>
    </row>
    <row r="57" spans="1:19" x14ac:dyDescent="0.2">
      <c r="A57" s="10" t="s">
        <v>218</v>
      </c>
      <c r="B57" s="10" t="s">
        <v>23</v>
      </c>
      <c r="C57" s="10" t="s">
        <v>204</v>
      </c>
      <c r="D57" s="14" t="s">
        <v>29</v>
      </c>
      <c r="E57" s="10">
        <v>42</v>
      </c>
      <c r="F57" s="10" t="s">
        <v>104</v>
      </c>
      <c r="G57" s="10" t="s">
        <v>93</v>
      </c>
      <c r="H57" s="10" t="s">
        <v>95</v>
      </c>
      <c r="I57" s="10" t="s">
        <v>184</v>
      </c>
      <c r="J57" s="10">
        <v>2048</v>
      </c>
      <c r="K57" s="10" t="s">
        <v>97</v>
      </c>
      <c r="L57" s="10">
        <v>6</v>
      </c>
      <c r="M57" s="15">
        <v>0.625</v>
      </c>
      <c r="N57" s="15">
        <v>1</v>
      </c>
      <c r="O57" s="15">
        <v>0.80555555555555602</v>
      </c>
      <c r="P57" s="15">
        <v>0.4083</v>
      </c>
      <c r="Q57" s="16">
        <f t="shared" si="1"/>
        <v>0.39725555555555603</v>
      </c>
      <c r="R57" s="10" t="s">
        <v>185</v>
      </c>
      <c r="S57" s="10" t="s">
        <v>219</v>
      </c>
    </row>
    <row r="58" spans="1:19" x14ac:dyDescent="0.2">
      <c r="A58" s="10" t="s">
        <v>220</v>
      </c>
      <c r="B58" s="10" t="s">
        <v>23</v>
      </c>
      <c r="C58" s="10" t="s">
        <v>204</v>
      </c>
      <c r="D58" s="14" t="s">
        <v>29</v>
      </c>
      <c r="E58" s="10">
        <v>42</v>
      </c>
      <c r="F58" s="10" t="s">
        <v>104</v>
      </c>
      <c r="G58" s="10" t="s">
        <v>94</v>
      </c>
      <c r="H58" s="10" t="s">
        <v>95</v>
      </c>
      <c r="I58" s="10" t="s">
        <v>184</v>
      </c>
      <c r="J58" s="10">
        <v>2048</v>
      </c>
      <c r="K58" s="10" t="s">
        <v>97</v>
      </c>
      <c r="L58" s="10">
        <v>2</v>
      </c>
      <c r="M58" s="15">
        <v>0.625</v>
      </c>
      <c r="N58" s="15">
        <v>1</v>
      </c>
      <c r="O58" s="15">
        <v>0.75</v>
      </c>
      <c r="P58" s="15">
        <v>0.75</v>
      </c>
      <c r="Q58" s="16">
        <f t="shared" si="1"/>
        <v>0</v>
      </c>
      <c r="R58" s="10" t="s">
        <v>185</v>
      </c>
      <c r="S58" s="10" t="s">
        <v>221</v>
      </c>
    </row>
    <row r="59" spans="1:19" x14ac:dyDescent="0.2">
      <c r="A59" s="10" t="s">
        <v>222</v>
      </c>
      <c r="B59" s="10" t="s">
        <v>23</v>
      </c>
      <c r="C59" s="10" t="s">
        <v>223</v>
      </c>
      <c r="D59" s="10" t="s">
        <v>21</v>
      </c>
      <c r="E59" s="10">
        <v>1</v>
      </c>
      <c r="F59" s="10" t="s">
        <v>93</v>
      </c>
      <c r="G59" s="10" t="s">
        <v>101</v>
      </c>
      <c r="H59" s="10" t="s">
        <v>95</v>
      </c>
      <c r="I59" s="10" t="s">
        <v>184</v>
      </c>
      <c r="J59" s="10">
        <v>1024</v>
      </c>
      <c r="K59" s="10" t="s">
        <v>97</v>
      </c>
      <c r="L59" s="10">
        <v>21</v>
      </c>
      <c r="M59" s="15">
        <v>0.61111111111111105</v>
      </c>
      <c r="N59" s="15">
        <v>0.85714285714285698</v>
      </c>
      <c r="O59" s="15">
        <v>0.85317460317460303</v>
      </c>
      <c r="P59" s="15">
        <v>0.1736</v>
      </c>
      <c r="Q59" s="16">
        <f t="shared" si="1"/>
        <v>0.67957460317460305</v>
      </c>
      <c r="R59" s="10" t="s">
        <v>224</v>
      </c>
      <c r="S59" s="10" t="s">
        <v>225</v>
      </c>
    </row>
    <row r="60" spans="1:19" x14ac:dyDescent="0.2">
      <c r="A60" s="10" t="s">
        <v>226</v>
      </c>
      <c r="B60" s="10" t="s">
        <v>23</v>
      </c>
      <c r="C60" s="10" t="s">
        <v>223</v>
      </c>
      <c r="D60" s="10" t="s">
        <v>21</v>
      </c>
      <c r="E60" s="10">
        <v>1</v>
      </c>
      <c r="F60" s="10" t="s">
        <v>94</v>
      </c>
      <c r="G60" s="10" t="s">
        <v>101</v>
      </c>
      <c r="H60" s="10" t="s">
        <v>95</v>
      </c>
      <c r="I60" s="10" t="s">
        <v>184</v>
      </c>
      <c r="J60" s="10">
        <v>1024</v>
      </c>
      <c r="K60" s="10" t="s">
        <v>97</v>
      </c>
      <c r="L60" s="10">
        <v>21</v>
      </c>
      <c r="M60" s="15">
        <v>1</v>
      </c>
      <c r="N60" s="15">
        <v>0.94642857142857095</v>
      </c>
      <c r="O60" s="15">
        <v>0.97619047619047605</v>
      </c>
      <c r="P60" s="15">
        <v>0.1736</v>
      </c>
      <c r="Q60" s="16">
        <f t="shared" si="1"/>
        <v>0.80259047619047608</v>
      </c>
      <c r="R60" s="10" t="s">
        <v>224</v>
      </c>
      <c r="S60" s="10" t="s">
        <v>227</v>
      </c>
    </row>
    <row r="61" spans="1:19" x14ac:dyDescent="0.2">
      <c r="A61" s="10" t="s">
        <v>228</v>
      </c>
      <c r="B61" s="10" t="s">
        <v>23</v>
      </c>
      <c r="C61" s="10" t="s">
        <v>223</v>
      </c>
      <c r="D61" s="10" t="s">
        <v>21</v>
      </c>
      <c r="E61" s="10">
        <v>1</v>
      </c>
      <c r="F61" s="10" t="s">
        <v>104</v>
      </c>
      <c r="G61" s="10" t="s">
        <v>101</v>
      </c>
      <c r="H61" s="10" t="s">
        <v>95</v>
      </c>
      <c r="I61" s="10" t="s">
        <v>184</v>
      </c>
      <c r="J61" s="10">
        <v>1024</v>
      </c>
      <c r="K61" s="10" t="s">
        <v>97</v>
      </c>
      <c r="L61" s="10">
        <v>21</v>
      </c>
      <c r="M61" s="15">
        <v>0.875</v>
      </c>
      <c r="N61" s="15">
        <v>0.89285714285714302</v>
      </c>
      <c r="O61" s="15">
        <v>0.97619047619047605</v>
      </c>
      <c r="P61" s="15">
        <v>0.1736</v>
      </c>
      <c r="Q61" s="16">
        <f t="shared" si="1"/>
        <v>0.80259047619047608</v>
      </c>
      <c r="R61" s="10" t="s">
        <v>224</v>
      </c>
      <c r="S61" s="10" t="s">
        <v>229</v>
      </c>
    </row>
    <row r="62" spans="1:19" x14ac:dyDescent="0.2">
      <c r="A62" s="10" t="s">
        <v>230</v>
      </c>
      <c r="B62" s="10" t="s">
        <v>23</v>
      </c>
      <c r="C62" s="10" t="s">
        <v>231</v>
      </c>
      <c r="D62" s="10" t="s">
        <v>21</v>
      </c>
      <c r="E62" s="10">
        <v>2</v>
      </c>
      <c r="F62" s="10" t="s">
        <v>93</v>
      </c>
      <c r="G62" s="10" t="s">
        <v>101</v>
      </c>
      <c r="H62" s="10" t="s">
        <v>95</v>
      </c>
      <c r="I62" s="10" t="s">
        <v>184</v>
      </c>
      <c r="J62" s="10">
        <v>1024</v>
      </c>
      <c r="K62" s="10" t="s">
        <v>97</v>
      </c>
      <c r="L62" s="10">
        <v>21</v>
      </c>
      <c r="M62" s="15">
        <v>0.61111111111111105</v>
      </c>
      <c r="N62" s="15">
        <v>0.76428571428571401</v>
      </c>
      <c r="O62" s="15">
        <v>0.79920634920634903</v>
      </c>
      <c r="P62" s="15">
        <v>0.1736</v>
      </c>
      <c r="Q62" s="16">
        <f t="shared" si="1"/>
        <v>0.62560634920634905</v>
      </c>
      <c r="R62" s="10" t="s">
        <v>224</v>
      </c>
      <c r="S62" s="10" t="s">
        <v>232</v>
      </c>
    </row>
    <row r="63" spans="1:19" x14ac:dyDescent="0.2">
      <c r="A63" s="10" t="s">
        <v>233</v>
      </c>
      <c r="B63" s="10" t="s">
        <v>23</v>
      </c>
      <c r="C63" s="10" t="s">
        <v>231</v>
      </c>
      <c r="D63" s="10" t="s">
        <v>21</v>
      </c>
      <c r="E63" s="10">
        <v>2</v>
      </c>
      <c r="F63" s="10" t="s">
        <v>94</v>
      </c>
      <c r="G63" s="10" t="s">
        <v>101</v>
      </c>
      <c r="H63" s="10" t="s">
        <v>95</v>
      </c>
      <c r="I63" s="10" t="s">
        <v>184</v>
      </c>
      <c r="J63" s="10">
        <v>1024</v>
      </c>
      <c r="K63" s="10" t="s">
        <v>97</v>
      </c>
      <c r="L63" s="10">
        <v>21</v>
      </c>
      <c r="M63" s="15">
        <v>0.75</v>
      </c>
      <c r="N63" s="15">
        <v>0.875</v>
      </c>
      <c r="O63" s="15">
        <v>0.952380952380952</v>
      </c>
      <c r="P63" s="15">
        <v>0.1736</v>
      </c>
      <c r="Q63" s="16">
        <f t="shared" si="1"/>
        <v>0.77878095238095202</v>
      </c>
      <c r="R63" s="10" t="s">
        <v>224</v>
      </c>
      <c r="S63" s="10" t="s">
        <v>234</v>
      </c>
    </row>
    <row r="64" spans="1:19" x14ac:dyDescent="0.2">
      <c r="A64" s="10" t="s">
        <v>235</v>
      </c>
      <c r="B64" s="10" t="s">
        <v>23</v>
      </c>
      <c r="C64" s="10" t="s">
        <v>231</v>
      </c>
      <c r="D64" s="10" t="s">
        <v>21</v>
      </c>
      <c r="E64" s="10">
        <v>2</v>
      </c>
      <c r="F64" s="10" t="s">
        <v>104</v>
      </c>
      <c r="G64" s="10" t="s">
        <v>101</v>
      </c>
      <c r="H64" s="10" t="s">
        <v>95</v>
      </c>
      <c r="I64" s="10" t="s">
        <v>184</v>
      </c>
      <c r="J64" s="10">
        <v>1024</v>
      </c>
      <c r="K64" s="10" t="s">
        <v>97</v>
      </c>
      <c r="L64" s="10">
        <v>21</v>
      </c>
      <c r="M64" s="15">
        <v>0.875</v>
      </c>
      <c r="N64" s="15">
        <v>0.875</v>
      </c>
      <c r="O64" s="15">
        <v>0.91269841269841301</v>
      </c>
      <c r="P64" s="15">
        <v>0.1736</v>
      </c>
      <c r="Q64" s="16">
        <f t="shared" si="1"/>
        <v>0.73909841269841303</v>
      </c>
      <c r="R64" s="10" t="s">
        <v>224</v>
      </c>
      <c r="S64" s="10" t="s">
        <v>236</v>
      </c>
    </row>
    <row r="65" spans="1:19" x14ac:dyDescent="0.2">
      <c r="A65" s="10" t="s">
        <v>237</v>
      </c>
      <c r="B65" s="10" t="s">
        <v>23</v>
      </c>
      <c r="C65" s="10" t="s">
        <v>238</v>
      </c>
      <c r="D65" s="10" t="s">
        <v>21</v>
      </c>
      <c r="E65" s="10">
        <v>42</v>
      </c>
      <c r="F65" s="10" t="s">
        <v>93</v>
      </c>
      <c r="G65" s="10" t="s">
        <v>101</v>
      </c>
      <c r="H65" s="10" t="s">
        <v>95</v>
      </c>
      <c r="I65" s="10" t="s">
        <v>184</v>
      </c>
      <c r="J65" s="10">
        <v>1024</v>
      </c>
      <c r="K65" s="10" t="s">
        <v>97</v>
      </c>
      <c r="L65" s="10">
        <v>21</v>
      </c>
      <c r="M65" s="15">
        <v>0.61111111111111105</v>
      </c>
      <c r="N65" s="15">
        <v>0.77976190476190499</v>
      </c>
      <c r="O65" s="15">
        <v>0.898412698412698</v>
      </c>
      <c r="P65" s="15">
        <v>0.1736</v>
      </c>
      <c r="Q65" s="16">
        <f t="shared" si="1"/>
        <v>0.72481269841269802</v>
      </c>
      <c r="R65" s="10" t="s">
        <v>224</v>
      </c>
      <c r="S65" s="10" t="s">
        <v>239</v>
      </c>
    </row>
    <row r="66" spans="1:19" x14ac:dyDescent="0.2">
      <c r="A66" s="10" t="s">
        <v>240</v>
      </c>
      <c r="B66" s="10" t="s">
        <v>23</v>
      </c>
      <c r="C66" s="10" t="s">
        <v>238</v>
      </c>
      <c r="D66" s="10" t="s">
        <v>21</v>
      </c>
      <c r="E66" s="10">
        <v>42</v>
      </c>
      <c r="F66" s="10" t="s">
        <v>94</v>
      </c>
      <c r="G66" s="10" t="s">
        <v>101</v>
      </c>
      <c r="H66" s="10" t="s">
        <v>95</v>
      </c>
      <c r="I66" s="10" t="s">
        <v>184</v>
      </c>
      <c r="J66" s="10">
        <v>1024</v>
      </c>
      <c r="K66" s="10" t="s">
        <v>97</v>
      </c>
      <c r="L66" s="10">
        <v>21</v>
      </c>
      <c r="M66" s="15">
        <v>0.75</v>
      </c>
      <c r="N66" s="15">
        <v>0.90714285714285703</v>
      </c>
      <c r="O66" s="15">
        <v>0.92857142857142905</v>
      </c>
      <c r="P66" s="15">
        <v>0.1736</v>
      </c>
      <c r="Q66" s="16">
        <f t="shared" ref="Q66:Q97" si="2">IF(AND(ISNUMBER(O66),ISNUMBER(P66)),O66-P66,"")</f>
        <v>0.75497142857142907</v>
      </c>
      <c r="R66" s="10" t="s">
        <v>224</v>
      </c>
      <c r="S66" s="10" t="s">
        <v>241</v>
      </c>
    </row>
    <row r="67" spans="1:19" x14ac:dyDescent="0.2">
      <c r="A67" s="10" t="s">
        <v>242</v>
      </c>
      <c r="B67" s="10" t="s">
        <v>23</v>
      </c>
      <c r="C67" s="10" t="s">
        <v>238</v>
      </c>
      <c r="D67" s="10" t="s">
        <v>21</v>
      </c>
      <c r="E67" s="10">
        <v>42</v>
      </c>
      <c r="F67" s="10" t="s">
        <v>104</v>
      </c>
      <c r="G67" s="10" t="s">
        <v>101</v>
      </c>
      <c r="H67" s="10" t="s">
        <v>95</v>
      </c>
      <c r="I67" s="10" t="s">
        <v>184</v>
      </c>
      <c r="J67" s="10">
        <v>1024</v>
      </c>
      <c r="K67" s="10" t="s">
        <v>97</v>
      </c>
      <c r="L67" s="10">
        <v>21</v>
      </c>
      <c r="M67" s="15">
        <v>0.70833333333333304</v>
      </c>
      <c r="N67" s="15">
        <v>0.83571428571428596</v>
      </c>
      <c r="O67" s="15">
        <v>0.952380952380952</v>
      </c>
      <c r="P67" s="15">
        <v>0.1736</v>
      </c>
      <c r="Q67" s="16">
        <f t="shared" si="2"/>
        <v>0.77878095238095202</v>
      </c>
      <c r="R67" s="10" t="s">
        <v>224</v>
      </c>
      <c r="S67" s="10" t="s">
        <v>243</v>
      </c>
    </row>
    <row r="68" spans="1:19" x14ac:dyDescent="0.2">
      <c r="A68" s="10" t="s">
        <v>244</v>
      </c>
      <c r="B68" s="10" t="s">
        <v>23</v>
      </c>
      <c r="C68" s="10" t="s">
        <v>245</v>
      </c>
      <c r="D68" s="10" t="s">
        <v>21</v>
      </c>
      <c r="E68" s="10">
        <v>42</v>
      </c>
      <c r="F68" s="10" t="s">
        <v>93</v>
      </c>
      <c r="G68" s="10" t="s">
        <v>101</v>
      </c>
      <c r="H68" s="10" t="s">
        <v>95</v>
      </c>
      <c r="I68" s="10" t="s">
        <v>246</v>
      </c>
      <c r="J68" s="10">
        <v>1024</v>
      </c>
      <c r="K68" s="10" t="s">
        <v>97</v>
      </c>
      <c r="L68" s="10">
        <v>21</v>
      </c>
      <c r="M68" s="15">
        <v>0.61111111111111105</v>
      </c>
      <c r="N68" s="15">
        <v>0.69897959183673497</v>
      </c>
      <c r="O68" s="15">
        <v>0.85600907029478501</v>
      </c>
      <c r="P68" s="15">
        <v>0.1736</v>
      </c>
      <c r="Q68" s="16">
        <f t="shared" si="2"/>
        <v>0.68240907029478504</v>
      </c>
      <c r="R68" s="10"/>
      <c r="S68" s="10" t="s">
        <v>247</v>
      </c>
    </row>
    <row r="69" spans="1:19" x14ac:dyDescent="0.2">
      <c r="A69" s="10" t="s">
        <v>248</v>
      </c>
      <c r="B69" s="10" t="s">
        <v>23</v>
      </c>
      <c r="C69" s="10" t="s">
        <v>245</v>
      </c>
      <c r="D69" s="10" t="s">
        <v>21</v>
      </c>
      <c r="E69" s="10">
        <v>42</v>
      </c>
      <c r="F69" s="10" t="s">
        <v>94</v>
      </c>
      <c r="G69" s="10" t="s">
        <v>101</v>
      </c>
      <c r="H69" s="10" t="s">
        <v>95</v>
      </c>
      <c r="I69" s="10" t="s">
        <v>246</v>
      </c>
      <c r="J69" s="10">
        <v>1024</v>
      </c>
      <c r="K69" s="10" t="s">
        <v>97</v>
      </c>
      <c r="L69" s="10">
        <v>21</v>
      </c>
      <c r="M69" s="15">
        <v>0.75</v>
      </c>
      <c r="N69" s="15">
        <v>0.82380952380952399</v>
      </c>
      <c r="O69" s="15">
        <v>0.84761904761904805</v>
      </c>
      <c r="P69" s="15">
        <v>0.1736</v>
      </c>
      <c r="Q69" s="16">
        <f t="shared" si="2"/>
        <v>0.67401904761904807</v>
      </c>
      <c r="R69" s="10"/>
      <c r="S69" s="10" t="s">
        <v>249</v>
      </c>
    </row>
    <row r="70" spans="1:19" x14ac:dyDescent="0.2">
      <c r="A70" s="10" t="s">
        <v>250</v>
      </c>
      <c r="B70" s="10" t="s">
        <v>23</v>
      </c>
      <c r="C70" s="10" t="s">
        <v>245</v>
      </c>
      <c r="D70" s="10" t="s">
        <v>21</v>
      </c>
      <c r="E70" s="10">
        <v>42</v>
      </c>
      <c r="F70" s="10" t="s">
        <v>104</v>
      </c>
      <c r="G70" s="10" t="s">
        <v>101</v>
      </c>
      <c r="H70" s="10" t="s">
        <v>95</v>
      </c>
      <c r="I70" s="10" t="s">
        <v>246</v>
      </c>
      <c r="J70" s="10">
        <v>1024</v>
      </c>
      <c r="K70" s="10" t="s">
        <v>97</v>
      </c>
      <c r="L70" s="10">
        <v>21</v>
      </c>
      <c r="M70" s="15">
        <v>0.70833333333333304</v>
      </c>
      <c r="N70" s="15">
        <v>0.77380952380952395</v>
      </c>
      <c r="O70" s="15">
        <v>0.92063492063492103</v>
      </c>
      <c r="P70" s="15">
        <v>0.1736</v>
      </c>
      <c r="Q70" s="16">
        <f t="shared" si="2"/>
        <v>0.74703492063492105</v>
      </c>
      <c r="R70" s="10"/>
      <c r="S70" s="10" t="s">
        <v>251</v>
      </c>
    </row>
    <row r="71" spans="1:19" x14ac:dyDescent="0.2">
      <c r="A71" s="10" t="s">
        <v>252</v>
      </c>
      <c r="B71" s="10" t="s">
        <v>23</v>
      </c>
      <c r="C71" s="10" t="s">
        <v>253</v>
      </c>
      <c r="D71" s="10" t="s">
        <v>21</v>
      </c>
      <c r="E71" s="10">
        <v>42</v>
      </c>
      <c r="F71" s="10" t="s">
        <v>93</v>
      </c>
      <c r="G71" s="10" t="s">
        <v>101</v>
      </c>
      <c r="H71" s="10" t="s">
        <v>95</v>
      </c>
      <c r="I71" s="10" t="s">
        <v>184</v>
      </c>
      <c r="J71" s="10">
        <v>256</v>
      </c>
      <c r="K71" s="10" t="s">
        <v>97</v>
      </c>
      <c r="L71" s="10">
        <v>21</v>
      </c>
      <c r="M71" s="15">
        <v>1</v>
      </c>
      <c r="N71" s="15">
        <v>0.71904761904761905</v>
      </c>
      <c r="O71" s="15">
        <v>0.53849206349206402</v>
      </c>
      <c r="P71" s="15">
        <v>0.1736</v>
      </c>
      <c r="Q71" s="16">
        <f t="shared" si="2"/>
        <v>0.36489206349206404</v>
      </c>
      <c r="R71" s="10"/>
      <c r="S71" s="10" t="s">
        <v>254</v>
      </c>
    </row>
    <row r="72" spans="1:19" x14ac:dyDescent="0.2">
      <c r="A72" s="10" t="s">
        <v>255</v>
      </c>
      <c r="B72" s="10" t="s">
        <v>23</v>
      </c>
      <c r="C72" s="10" t="s">
        <v>253</v>
      </c>
      <c r="D72" s="10" t="s">
        <v>21</v>
      </c>
      <c r="E72" s="10">
        <v>42</v>
      </c>
      <c r="F72" s="10" t="s">
        <v>94</v>
      </c>
      <c r="G72" s="10" t="s">
        <v>101</v>
      </c>
      <c r="H72" s="10" t="s">
        <v>95</v>
      </c>
      <c r="I72" s="10" t="s">
        <v>184</v>
      </c>
      <c r="J72" s="10">
        <v>256</v>
      </c>
      <c r="K72" s="10" t="s">
        <v>97</v>
      </c>
      <c r="L72" s="10">
        <v>21</v>
      </c>
      <c r="M72" s="15">
        <v>0.75</v>
      </c>
      <c r="N72" s="15">
        <v>0.67925170068027196</v>
      </c>
      <c r="O72" s="15">
        <v>0.59232804232804204</v>
      </c>
      <c r="P72" s="15">
        <v>0.1736</v>
      </c>
      <c r="Q72" s="16">
        <f t="shared" si="2"/>
        <v>0.41872804232804206</v>
      </c>
      <c r="R72" s="10"/>
      <c r="S72" s="10" t="s">
        <v>256</v>
      </c>
    </row>
    <row r="73" spans="1:19" x14ac:dyDescent="0.2">
      <c r="A73" s="10" t="s">
        <v>257</v>
      </c>
      <c r="B73" s="10" t="s">
        <v>23</v>
      </c>
      <c r="C73" s="10" t="s">
        <v>253</v>
      </c>
      <c r="D73" s="10" t="s">
        <v>21</v>
      </c>
      <c r="E73" s="10">
        <v>42</v>
      </c>
      <c r="F73" s="10" t="s">
        <v>104</v>
      </c>
      <c r="G73" s="10" t="s">
        <v>101</v>
      </c>
      <c r="H73" s="10" t="s">
        <v>95</v>
      </c>
      <c r="I73" s="10" t="s">
        <v>184</v>
      </c>
      <c r="J73" s="10">
        <v>256</v>
      </c>
      <c r="K73" s="10" t="s">
        <v>97</v>
      </c>
      <c r="L73" s="10">
        <v>21</v>
      </c>
      <c r="M73" s="15">
        <v>0.58333333333333304</v>
      </c>
      <c r="N73" s="15">
        <v>0.58758503401360596</v>
      </c>
      <c r="O73" s="15">
        <v>0.54814814814814805</v>
      </c>
      <c r="P73" s="15">
        <v>0.1736</v>
      </c>
      <c r="Q73" s="16">
        <f t="shared" si="2"/>
        <v>0.37454814814814807</v>
      </c>
      <c r="R73" s="10"/>
      <c r="S73" s="10" t="s">
        <v>258</v>
      </c>
    </row>
    <row r="74" spans="1:19" x14ac:dyDescent="0.2">
      <c r="A74" s="10" t="s">
        <v>259</v>
      </c>
      <c r="B74" s="10" t="s">
        <v>23</v>
      </c>
      <c r="C74" s="10" t="s">
        <v>260</v>
      </c>
      <c r="D74" s="14" t="s">
        <v>29</v>
      </c>
      <c r="E74" s="10">
        <v>1</v>
      </c>
      <c r="F74" s="10" t="s">
        <v>261</v>
      </c>
      <c r="G74" s="10" t="s">
        <v>93</v>
      </c>
      <c r="H74" s="10" t="s">
        <v>95</v>
      </c>
      <c r="I74" s="10" t="s">
        <v>184</v>
      </c>
      <c r="J74" s="10">
        <v>1024</v>
      </c>
      <c r="K74" s="10" t="s">
        <v>97</v>
      </c>
      <c r="L74" s="10">
        <v>6</v>
      </c>
      <c r="M74" s="15"/>
      <c r="N74" s="15">
        <v>0.61111111111111105</v>
      </c>
      <c r="O74" s="15">
        <v>0.63055555555555598</v>
      </c>
      <c r="P74" s="15">
        <v>0.4083</v>
      </c>
      <c r="Q74" s="16">
        <f t="shared" si="2"/>
        <v>0.22225555555555598</v>
      </c>
      <c r="R74" s="10" t="s">
        <v>262</v>
      </c>
      <c r="S74" s="10" t="s">
        <v>263</v>
      </c>
    </row>
    <row r="75" spans="1:19" x14ac:dyDescent="0.2">
      <c r="A75" s="10" t="s">
        <v>264</v>
      </c>
      <c r="B75" s="10" t="s">
        <v>23</v>
      </c>
      <c r="C75" s="10" t="s">
        <v>260</v>
      </c>
      <c r="D75" s="14" t="s">
        <v>29</v>
      </c>
      <c r="E75" s="10">
        <v>1</v>
      </c>
      <c r="F75" s="10" t="s">
        <v>261</v>
      </c>
      <c r="G75" s="10" t="s">
        <v>94</v>
      </c>
      <c r="H75" s="10" t="s">
        <v>95</v>
      </c>
      <c r="I75" s="10" t="s">
        <v>184</v>
      </c>
      <c r="J75" s="10">
        <v>1024</v>
      </c>
      <c r="K75" s="10" t="s">
        <v>97</v>
      </c>
      <c r="L75" s="10">
        <v>2</v>
      </c>
      <c r="M75" s="15"/>
      <c r="N75" s="15">
        <v>0.75</v>
      </c>
      <c r="O75" s="15">
        <v>1</v>
      </c>
      <c r="P75" s="15">
        <v>0.75</v>
      </c>
      <c r="Q75" s="16">
        <f t="shared" si="2"/>
        <v>0.25</v>
      </c>
      <c r="R75" s="10" t="s">
        <v>262</v>
      </c>
      <c r="S75" s="10" t="s">
        <v>265</v>
      </c>
    </row>
    <row r="76" spans="1:19" x14ac:dyDescent="0.2">
      <c r="A76" s="10" t="s">
        <v>266</v>
      </c>
      <c r="B76" s="10" t="s">
        <v>23</v>
      </c>
      <c r="C76" s="10" t="s">
        <v>260</v>
      </c>
      <c r="D76" s="14" t="s">
        <v>29</v>
      </c>
      <c r="E76" s="10">
        <v>1</v>
      </c>
      <c r="F76" s="10" t="s">
        <v>261</v>
      </c>
      <c r="G76" s="10" t="s">
        <v>104</v>
      </c>
      <c r="H76" s="10" t="s">
        <v>95</v>
      </c>
      <c r="I76" s="10" t="s">
        <v>184</v>
      </c>
      <c r="J76" s="10">
        <v>1024</v>
      </c>
      <c r="K76" s="10" t="s">
        <v>97</v>
      </c>
      <c r="L76" s="10">
        <v>3</v>
      </c>
      <c r="M76" s="15"/>
      <c r="N76" s="15">
        <v>0.6875</v>
      </c>
      <c r="O76" s="15">
        <v>0.66666666666666696</v>
      </c>
      <c r="P76" s="15">
        <v>0.61109999999999998</v>
      </c>
      <c r="Q76" s="16">
        <f t="shared" si="2"/>
        <v>5.5566666666666986E-2</v>
      </c>
      <c r="R76" s="10" t="s">
        <v>262</v>
      </c>
      <c r="S76" s="10" t="s">
        <v>267</v>
      </c>
    </row>
    <row r="77" spans="1:19" x14ac:dyDescent="0.2">
      <c r="A77" s="10" t="s">
        <v>268</v>
      </c>
      <c r="B77" s="10" t="s">
        <v>23</v>
      </c>
      <c r="C77" s="10" t="s">
        <v>269</v>
      </c>
      <c r="D77" s="14" t="s">
        <v>29</v>
      </c>
      <c r="E77" s="10">
        <v>2</v>
      </c>
      <c r="F77" s="10" t="s">
        <v>261</v>
      </c>
      <c r="G77" s="10" t="s">
        <v>93</v>
      </c>
      <c r="H77" s="10" t="s">
        <v>95</v>
      </c>
      <c r="I77" s="10" t="s">
        <v>184</v>
      </c>
      <c r="J77" s="10">
        <v>1024</v>
      </c>
      <c r="K77" s="10" t="s">
        <v>97</v>
      </c>
      <c r="L77" s="10">
        <v>6</v>
      </c>
      <c r="M77" s="15"/>
      <c r="N77" s="15">
        <v>0.61111111111111105</v>
      </c>
      <c r="O77" s="15">
        <v>0.53333333333333299</v>
      </c>
      <c r="P77" s="15">
        <v>0.4083</v>
      </c>
      <c r="Q77" s="16">
        <f t="shared" si="2"/>
        <v>0.125033333333333</v>
      </c>
      <c r="R77" s="10" t="s">
        <v>262</v>
      </c>
      <c r="S77" s="10" t="s">
        <v>270</v>
      </c>
    </row>
    <row r="78" spans="1:19" x14ac:dyDescent="0.2">
      <c r="A78" s="10" t="s">
        <v>271</v>
      </c>
      <c r="B78" s="10" t="s">
        <v>23</v>
      </c>
      <c r="C78" s="10" t="s">
        <v>269</v>
      </c>
      <c r="D78" s="14" t="s">
        <v>29</v>
      </c>
      <c r="E78" s="10">
        <v>2</v>
      </c>
      <c r="F78" s="10" t="s">
        <v>261</v>
      </c>
      <c r="G78" s="10" t="s">
        <v>94</v>
      </c>
      <c r="H78" s="10" t="s">
        <v>95</v>
      </c>
      <c r="I78" s="10" t="s">
        <v>184</v>
      </c>
      <c r="J78" s="10">
        <v>1024</v>
      </c>
      <c r="K78" s="10" t="s">
        <v>97</v>
      </c>
      <c r="L78" s="10">
        <v>2</v>
      </c>
      <c r="M78" s="15"/>
      <c r="N78" s="15">
        <v>0.75</v>
      </c>
      <c r="O78" s="15">
        <v>1</v>
      </c>
      <c r="P78" s="15">
        <v>0.75</v>
      </c>
      <c r="Q78" s="16">
        <f t="shared" si="2"/>
        <v>0.25</v>
      </c>
      <c r="R78" s="10" t="s">
        <v>262</v>
      </c>
      <c r="S78" s="10" t="s">
        <v>272</v>
      </c>
    </row>
    <row r="79" spans="1:19" x14ac:dyDescent="0.2">
      <c r="A79" s="10" t="s">
        <v>273</v>
      </c>
      <c r="B79" s="10" t="s">
        <v>23</v>
      </c>
      <c r="C79" s="10" t="s">
        <v>269</v>
      </c>
      <c r="D79" s="14" t="s">
        <v>29</v>
      </c>
      <c r="E79" s="10">
        <v>2</v>
      </c>
      <c r="F79" s="10" t="s">
        <v>261</v>
      </c>
      <c r="G79" s="10" t="s">
        <v>104</v>
      </c>
      <c r="H79" s="10" t="s">
        <v>95</v>
      </c>
      <c r="I79" s="10" t="s">
        <v>184</v>
      </c>
      <c r="J79" s="10">
        <v>1024</v>
      </c>
      <c r="K79" s="10" t="s">
        <v>97</v>
      </c>
      <c r="L79" s="10">
        <v>3</v>
      </c>
      <c r="M79" s="15"/>
      <c r="N79" s="15">
        <v>0.6875</v>
      </c>
      <c r="O79" s="15">
        <v>0.83333333333333304</v>
      </c>
      <c r="P79" s="15">
        <v>0.61109999999999998</v>
      </c>
      <c r="Q79" s="16">
        <f t="shared" si="2"/>
        <v>0.22223333333333306</v>
      </c>
      <c r="R79" s="10" t="s">
        <v>262</v>
      </c>
      <c r="S79" s="10" t="s">
        <v>274</v>
      </c>
    </row>
    <row r="80" spans="1:19" x14ac:dyDescent="0.2">
      <c r="A80" s="10" t="s">
        <v>275</v>
      </c>
      <c r="B80" s="10" t="s">
        <v>23</v>
      </c>
      <c r="C80" s="10" t="s">
        <v>276</v>
      </c>
      <c r="D80" s="14" t="s">
        <v>29</v>
      </c>
      <c r="E80" s="10">
        <v>42</v>
      </c>
      <c r="F80" s="10" t="s">
        <v>261</v>
      </c>
      <c r="G80" s="10" t="s">
        <v>93</v>
      </c>
      <c r="H80" s="10" t="s">
        <v>95</v>
      </c>
      <c r="I80" s="10" t="s">
        <v>184</v>
      </c>
      <c r="J80" s="10">
        <v>1024</v>
      </c>
      <c r="K80" s="10" t="s">
        <v>97</v>
      </c>
      <c r="L80" s="10">
        <v>6</v>
      </c>
      <c r="M80" s="15"/>
      <c r="N80" s="15">
        <v>0.61111111111111105</v>
      </c>
      <c r="O80" s="15">
        <v>0.53333333333333299</v>
      </c>
      <c r="P80" s="15">
        <v>0.4083</v>
      </c>
      <c r="Q80" s="16">
        <f t="shared" si="2"/>
        <v>0.125033333333333</v>
      </c>
      <c r="R80" s="10" t="s">
        <v>262</v>
      </c>
      <c r="S80" s="10" t="s">
        <v>277</v>
      </c>
    </row>
    <row r="81" spans="1:19" x14ac:dyDescent="0.2">
      <c r="A81" s="10" t="s">
        <v>278</v>
      </c>
      <c r="B81" s="10" t="s">
        <v>23</v>
      </c>
      <c r="C81" s="10" t="s">
        <v>276</v>
      </c>
      <c r="D81" s="14" t="s">
        <v>29</v>
      </c>
      <c r="E81" s="10">
        <v>42</v>
      </c>
      <c r="F81" s="10" t="s">
        <v>261</v>
      </c>
      <c r="G81" s="10" t="s">
        <v>94</v>
      </c>
      <c r="H81" s="10" t="s">
        <v>95</v>
      </c>
      <c r="I81" s="10" t="s">
        <v>184</v>
      </c>
      <c r="J81" s="10">
        <v>1024</v>
      </c>
      <c r="K81" s="10" t="s">
        <v>97</v>
      </c>
      <c r="L81" s="10">
        <v>2</v>
      </c>
      <c r="M81" s="15"/>
      <c r="N81" s="15">
        <v>0.75</v>
      </c>
      <c r="O81" s="15">
        <v>0.75</v>
      </c>
      <c r="P81" s="15">
        <v>0.75</v>
      </c>
      <c r="Q81" s="16">
        <f t="shared" si="2"/>
        <v>0</v>
      </c>
      <c r="R81" s="10" t="s">
        <v>262</v>
      </c>
      <c r="S81" s="10" t="s">
        <v>279</v>
      </c>
    </row>
    <row r="82" spans="1:19" x14ac:dyDescent="0.2">
      <c r="A82" s="10" t="s">
        <v>280</v>
      </c>
      <c r="B82" s="10" t="s">
        <v>23</v>
      </c>
      <c r="C82" s="10" t="s">
        <v>276</v>
      </c>
      <c r="D82" s="14" t="s">
        <v>29</v>
      </c>
      <c r="E82" s="10">
        <v>42</v>
      </c>
      <c r="F82" s="10" t="s">
        <v>261</v>
      </c>
      <c r="G82" s="10" t="s">
        <v>104</v>
      </c>
      <c r="H82" s="10" t="s">
        <v>95</v>
      </c>
      <c r="I82" s="10" t="s">
        <v>184</v>
      </c>
      <c r="J82" s="10">
        <v>1024</v>
      </c>
      <c r="K82" s="10" t="s">
        <v>97</v>
      </c>
      <c r="L82" s="10">
        <v>3</v>
      </c>
      <c r="M82" s="15"/>
      <c r="N82" s="15">
        <v>0.6875</v>
      </c>
      <c r="O82" s="15">
        <v>0.83333333333333304</v>
      </c>
      <c r="P82" s="15">
        <v>0.61109999999999998</v>
      </c>
      <c r="Q82" s="16">
        <f t="shared" si="2"/>
        <v>0.22223333333333306</v>
      </c>
      <c r="R82" s="10" t="s">
        <v>262</v>
      </c>
      <c r="S82" s="10" t="s">
        <v>281</v>
      </c>
    </row>
    <row r="83" spans="1:19" x14ac:dyDescent="0.2">
      <c r="A83" s="10" t="s">
        <v>282</v>
      </c>
      <c r="B83" s="10" t="s">
        <v>23</v>
      </c>
      <c r="C83" s="10" t="s">
        <v>283</v>
      </c>
      <c r="D83" s="10" t="s">
        <v>21</v>
      </c>
      <c r="E83" s="10">
        <v>1</v>
      </c>
      <c r="F83" s="10" t="s">
        <v>261</v>
      </c>
      <c r="G83" s="10" t="s">
        <v>101</v>
      </c>
      <c r="H83" s="10" t="s">
        <v>95</v>
      </c>
      <c r="I83" s="10" t="s">
        <v>184</v>
      </c>
      <c r="J83" s="10">
        <v>1024</v>
      </c>
      <c r="K83" s="10" t="s">
        <v>97</v>
      </c>
      <c r="L83" s="10">
        <v>21</v>
      </c>
      <c r="M83" s="15"/>
      <c r="N83" s="15">
        <v>0.94642857142857095</v>
      </c>
      <c r="O83" s="15">
        <v>0.97619047619047605</v>
      </c>
      <c r="P83" s="15">
        <v>0.1736</v>
      </c>
      <c r="Q83" s="16">
        <f t="shared" si="2"/>
        <v>0.80259047619047608</v>
      </c>
      <c r="R83" s="10" t="s">
        <v>284</v>
      </c>
      <c r="S83" s="10" t="s">
        <v>285</v>
      </c>
    </row>
    <row r="84" spans="1:19" x14ac:dyDescent="0.2">
      <c r="A84" s="10" t="s">
        <v>286</v>
      </c>
      <c r="B84" s="10" t="s">
        <v>23</v>
      </c>
      <c r="C84" s="10" t="s">
        <v>287</v>
      </c>
      <c r="D84" s="10" t="s">
        <v>21</v>
      </c>
      <c r="E84" s="10">
        <v>2</v>
      </c>
      <c r="F84" s="10" t="s">
        <v>261</v>
      </c>
      <c r="G84" s="10" t="s">
        <v>101</v>
      </c>
      <c r="H84" s="10" t="s">
        <v>95</v>
      </c>
      <c r="I84" s="10" t="s">
        <v>184</v>
      </c>
      <c r="J84" s="10">
        <v>1024</v>
      </c>
      <c r="K84" s="10" t="s">
        <v>97</v>
      </c>
      <c r="L84" s="10">
        <v>21</v>
      </c>
      <c r="M84" s="15"/>
      <c r="N84" s="15">
        <v>0.91071428571428603</v>
      </c>
      <c r="O84" s="15">
        <v>0.97619047619047605</v>
      </c>
      <c r="P84" s="15">
        <v>0.1736</v>
      </c>
      <c r="Q84" s="16">
        <f t="shared" si="2"/>
        <v>0.80259047619047608</v>
      </c>
      <c r="R84" s="10" t="s">
        <v>284</v>
      </c>
      <c r="S84" s="10" t="s">
        <v>288</v>
      </c>
    </row>
    <row r="85" spans="1:19" x14ac:dyDescent="0.2">
      <c r="A85" s="10" t="s">
        <v>289</v>
      </c>
      <c r="B85" s="10" t="s">
        <v>23</v>
      </c>
      <c r="C85" s="10" t="s">
        <v>290</v>
      </c>
      <c r="D85" s="10" t="s">
        <v>21</v>
      </c>
      <c r="E85" s="10">
        <v>3</v>
      </c>
      <c r="F85" s="10" t="s">
        <v>261</v>
      </c>
      <c r="G85" s="10" t="s">
        <v>101</v>
      </c>
      <c r="H85" s="10" t="s">
        <v>95</v>
      </c>
      <c r="I85" s="10" t="s">
        <v>184</v>
      </c>
      <c r="J85" s="10">
        <v>1024</v>
      </c>
      <c r="K85" s="10" t="s">
        <v>97</v>
      </c>
      <c r="L85" s="10">
        <v>21</v>
      </c>
      <c r="M85" s="15"/>
      <c r="N85" s="15">
        <v>0.871428571428571</v>
      </c>
      <c r="O85" s="15">
        <v>0.88095238095238104</v>
      </c>
      <c r="P85" s="15">
        <v>0.1736</v>
      </c>
      <c r="Q85" s="16">
        <f t="shared" si="2"/>
        <v>0.70735238095238107</v>
      </c>
      <c r="R85" s="10" t="s">
        <v>284</v>
      </c>
      <c r="S85" s="10" t="s">
        <v>291</v>
      </c>
    </row>
    <row r="86" spans="1:19" x14ac:dyDescent="0.2">
      <c r="A86" s="10" t="s">
        <v>292</v>
      </c>
      <c r="B86" s="10" t="s">
        <v>23</v>
      </c>
      <c r="C86" s="10" t="s">
        <v>293</v>
      </c>
      <c r="D86" s="10" t="s">
        <v>21</v>
      </c>
      <c r="E86" s="10">
        <v>4</v>
      </c>
      <c r="F86" s="10" t="s">
        <v>261</v>
      </c>
      <c r="G86" s="10" t="s">
        <v>101</v>
      </c>
      <c r="H86" s="10" t="s">
        <v>95</v>
      </c>
      <c r="I86" s="10" t="s">
        <v>184</v>
      </c>
      <c r="J86" s="10">
        <v>1024</v>
      </c>
      <c r="K86" s="10" t="s">
        <v>97</v>
      </c>
      <c r="L86" s="10">
        <v>21</v>
      </c>
      <c r="M86" s="15"/>
      <c r="N86" s="15">
        <v>0.89880952380952395</v>
      </c>
      <c r="O86" s="15">
        <v>0.952380952380952</v>
      </c>
      <c r="P86" s="15">
        <v>0.1736</v>
      </c>
      <c r="Q86" s="16">
        <f t="shared" si="2"/>
        <v>0.77878095238095202</v>
      </c>
      <c r="R86" s="10" t="s">
        <v>284</v>
      </c>
      <c r="S86" s="10" t="s">
        <v>294</v>
      </c>
    </row>
    <row r="87" spans="1:19" x14ac:dyDescent="0.2">
      <c r="A87" s="10" t="s">
        <v>295</v>
      </c>
      <c r="B87" s="10" t="s">
        <v>23</v>
      </c>
      <c r="C87" s="10" t="s">
        <v>296</v>
      </c>
      <c r="D87" s="10" t="s">
        <v>21</v>
      </c>
      <c r="E87" s="10">
        <v>42</v>
      </c>
      <c r="F87" s="10" t="s">
        <v>261</v>
      </c>
      <c r="G87" s="10" t="s">
        <v>101</v>
      </c>
      <c r="H87" s="10" t="s">
        <v>95</v>
      </c>
      <c r="I87" s="10" t="s">
        <v>184</v>
      </c>
      <c r="J87" s="10">
        <v>1024</v>
      </c>
      <c r="K87" s="10" t="s">
        <v>97</v>
      </c>
      <c r="L87" s="10">
        <v>21</v>
      </c>
      <c r="M87" s="15"/>
      <c r="N87" s="15">
        <v>0.91071428571428603</v>
      </c>
      <c r="O87" s="15">
        <v>0.91666666666666696</v>
      </c>
      <c r="P87" s="15">
        <v>0.1736</v>
      </c>
      <c r="Q87" s="16">
        <f t="shared" si="2"/>
        <v>0.74306666666666699</v>
      </c>
      <c r="R87" s="10" t="s">
        <v>284</v>
      </c>
      <c r="S87" s="10" t="s">
        <v>297</v>
      </c>
    </row>
    <row r="88" spans="1:19" x14ac:dyDescent="0.2">
      <c r="A88" s="10" t="s">
        <v>298</v>
      </c>
      <c r="B88" s="10" t="s">
        <v>31</v>
      </c>
      <c r="C88" s="10" t="s">
        <v>299</v>
      </c>
      <c r="D88" s="10" t="s">
        <v>21</v>
      </c>
      <c r="E88" s="10">
        <v>1</v>
      </c>
      <c r="F88" s="10" t="s">
        <v>93</v>
      </c>
      <c r="G88" s="10" t="s">
        <v>101</v>
      </c>
      <c r="H88" s="10" t="s">
        <v>95</v>
      </c>
      <c r="I88" s="10" t="s">
        <v>184</v>
      </c>
      <c r="J88" s="10">
        <v>1024</v>
      </c>
      <c r="K88" s="10" t="s">
        <v>300</v>
      </c>
      <c r="L88" s="10">
        <v>21</v>
      </c>
      <c r="M88" s="15">
        <v>0.61111111111111105</v>
      </c>
      <c r="N88" s="15">
        <v>0.92857142857142905</v>
      </c>
      <c r="O88" s="15">
        <v>0.89285714285714302</v>
      </c>
      <c r="P88" s="15">
        <v>0.1736</v>
      </c>
      <c r="Q88" s="16">
        <f t="shared" si="2"/>
        <v>0.71925714285714304</v>
      </c>
      <c r="R88" s="10"/>
      <c r="S88" s="10" t="s">
        <v>301</v>
      </c>
    </row>
    <row r="89" spans="1:19" x14ac:dyDescent="0.2">
      <c r="A89" s="10" t="s">
        <v>302</v>
      </c>
      <c r="B89" s="10" t="s">
        <v>31</v>
      </c>
      <c r="C89" s="10" t="s">
        <v>299</v>
      </c>
      <c r="D89" s="10" t="s">
        <v>21</v>
      </c>
      <c r="E89" s="10">
        <v>1</v>
      </c>
      <c r="F89" s="10" t="s">
        <v>94</v>
      </c>
      <c r="G89" s="10" t="s">
        <v>101</v>
      </c>
      <c r="H89" s="10" t="s">
        <v>95</v>
      </c>
      <c r="I89" s="10" t="s">
        <v>184</v>
      </c>
      <c r="J89" s="10">
        <v>1024</v>
      </c>
      <c r="K89" s="10" t="s">
        <v>300</v>
      </c>
      <c r="L89" s="10">
        <v>21</v>
      </c>
      <c r="M89" s="15">
        <v>0.75</v>
      </c>
      <c r="N89" s="15">
        <v>0.96428571428571397</v>
      </c>
      <c r="O89" s="15">
        <v>0.82539682539682502</v>
      </c>
      <c r="P89" s="15">
        <v>0.1736</v>
      </c>
      <c r="Q89" s="16">
        <f t="shared" si="2"/>
        <v>0.65179682539682504</v>
      </c>
      <c r="R89" s="10"/>
      <c r="S89" s="10" t="s">
        <v>303</v>
      </c>
    </row>
    <row r="90" spans="1:19" x14ac:dyDescent="0.2">
      <c r="A90" s="10" t="s">
        <v>304</v>
      </c>
      <c r="B90" s="10" t="s">
        <v>31</v>
      </c>
      <c r="C90" s="10" t="s">
        <v>299</v>
      </c>
      <c r="D90" s="10" t="s">
        <v>21</v>
      </c>
      <c r="E90" s="10">
        <v>1</v>
      </c>
      <c r="F90" s="10" t="s">
        <v>104</v>
      </c>
      <c r="G90" s="10" t="s">
        <v>101</v>
      </c>
      <c r="H90" s="10" t="s">
        <v>95</v>
      </c>
      <c r="I90" s="10" t="s">
        <v>184</v>
      </c>
      <c r="J90" s="10">
        <v>1024</v>
      </c>
      <c r="K90" s="10" t="s">
        <v>300</v>
      </c>
      <c r="L90" s="10">
        <v>21</v>
      </c>
      <c r="M90" s="15">
        <v>0.875</v>
      </c>
      <c r="N90" s="15">
        <v>0.875</v>
      </c>
      <c r="O90" s="15">
        <v>0.84920634920634896</v>
      </c>
      <c r="P90" s="15">
        <v>0.1736</v>
      </c>
      <c r="Q90" s="16">
        <f t="shared" si="2"/>
        <v>0.67560634920634899</v>
      </c>
      <c r="R90" s="10"/>
      <c r="S90" s="10" t="s">
        <v>305</v>
      </c>
    </row>
    <row r="91" spans="1:19" x14ac:dyDescent="0.2">
      <c r="A91" s="10" t="s">
        <v>306</v>
      </c>
      <c r="B91" s="10" t="s">
        <v>31</v>
      </c>
      <c r="C91" s="10" t="s">
        <v>307</v>
      </c>
      <c r="D91" s="10" t="s">
        <v>21</v>
      </c>
      <c r="E91" s="10">
        <v>2</v>
      </c>
      <c r="F91" s="10" t="s">
        <v>93</v>
      </c>
      <c r="G91" s="10" t="s">
        <v>101</v>
      </c>
      <c r="H91" s="10" t="s">
        <v>95</v>
      </c>
      <c r="I91" s="10" t="s">
        <v>184</v>
      </c>
      <c r="J91" s="10">
        <v>1024</v>
      </c>
      <c r="K91" s="10" t="s">
        <v>300</v>
      </c>
      <c r="L91" s="10">
        <v>21</v>
      </c>
      <c r="M91" s="15">
        <v>0.55555555555555602</v>
      </c>
      <c r="N91" s="15">
        <v>0.90476190476190499</v>
      </c>
      <c r="O91" s="15">
        <v>0.90238095238095195</v>
      </c>
      <c r="P91" s="15">
        <v>0.1736</v>
      </c>
      <c r="Q91" s="16">
        <f t="shared" si="2"/>
        <v>0.72878095238095197</v>
      </c>
      <c r="R91" s="10"/>
      <c r="S91" s="10" t="s">
        <v>308</v>
      </c>
    </row>
    <row r="92" spans="1:19" x14ac:dyDescent="0.2">
      <c r="A92" s="10" t="s">
        <v>309</v>
      </c>
      <c r="B92" s="10" t="s">
        <v>31</v>
      </c>
      <c r="C92" s="10" t="s">
        <v>307</v>
      </c>
      <c r="D92" s="10" t="s">
        <v>21</v>
      </c>
      <c r="E92" s="10">
        <v>2</v>
      </c>
      <c r="F92" s="10" t="s">
        <v>94</v>
      </c>
      <c r="G92" s="10" t="s">
        <v>101</v>
      </c>
      <c r="H92" s="10" t="s">
        <v>95</v>
      </c>
      <c r="I92" s="10" t="s">
        <v>184</v>
      </c>
      <c r="J92" s="10">
        <v>1024</v>
      </c>
      <c r="K92" s="10" t="s">
        <v>300</v>
      </c>
      <c r="L92" s="10">
        <v>21</v>
      </c>
      <c r="M92" s="15">
        <v>0.5</v>
      </c>
      <c r="N92" s="15">
        <v>0.875</v>
      </c>
      <c r="O92" s="15">
        <v>0.83333333333333304</v>
      </c>
      <c r="P92" s="15">
        <v>0.1736</v>
      </c>
      <c r="Q92" s="16">
        <f t="shared" si="2"/>
        <v>0.65973333333333306</v>
      </c>
      <c r="R92" s="10"/>
      <c r="S92" s="10" t="s">
        <v>310</v>
      </c>
    </row>
    <row r="93" spans="1:19" x14ac:dyDescent="0.2">
      <c r="A93" s="10" t="s">
        <v>311</v>
      </c>
      <c r="B93" s="10" t="s">
        <v>31</v>
      </c>
      <c r="C93" s="10" t="s">
        <v>307</v>
      </c>
      <c r="D93" s="10" t="s">
        <v>21</v>
      </c>
      <c r="E93" s="10">
        <v>2</v>
      </c>
      <c r="F93" s="10" t="s">
        <v>104</v>
      </c>
      <c r="G93" s="10" t="s">
        <v>101</v>
      </c>
      <c r="H93" s="10" t="s">
        <v>95</v>
      </c>
      <c r="I93" s="10" t="s">
        <v>184</v>
      </c>
      <c r="J93" s="10">
        <v>1024</v>
      </c>
      <c r="K93" s="10" t="s">
        <v>300</v>
      </c>
      <c r="L93" s="10">
        <v>21</v>
      </c>
      <c r="M93" s="15">
        <v>0.75</v>
      </c>
      <c r="N93" s="15">
        <v>0.871428571428571</v>
      </c>
      <c r="O93" s="15">
        <v>0.80158730158730196</v>
      </c>
      <c r="P93" s="15">
        <v>0.1736</v>
      </c>
      <c r="Q93" s="16">
        <f t="shared" si="2"/>
        <v>0.62798730158730198</v>
      </c>
      <c r="R93" s="10"/>
      <c r="S93" s="10" t="s">
        <v>312</v>
      </c>
    </row>
    <row r="94" spans="1:19" x14ac:dyDescent="0.2">
      <c r="A94" s="10" t="s">
        <v>313</v>
      </c>
      <c r="B94" s="10" t="s">
        <v>31</v>
      </c>
      <c r="C94" s="10" t="s">
        <v>314</v>
      </c>
      <c r="D94" s="10" t="s">
        <v>21</v>
      </c>
      <c r="E94" s="10">
        <v>42</v>
      </c>
      <c r="F94" s="10" t="s">
        <v>93</v>
      </c>
      <c r="G94" s="10" t="s">
        <v>101</v>
      </c>
      <c r="H94" s="10" t="s">
        <v>95</v>
      </c>
      <c r="I94" s="10" t="s">
        <v>184</v>
      </c>
      <c r="J94" s="10">
        <v>1024</v>
      </c>
      <c r="K94" s="10" t="s">
        <v>300</v>
      </c>
      <c r="L94" s="10">
        <v>21</v>
      </c>
      <c r="M94" s="15">
        <v>0.55555555555555602</v>
      </c>
      <c r="N94" s="15">
        <v>0.88095238095238104</v>
      </c>
      <c r="O94" s="15">
        <v>0.89682539682539697</v>
      </c>
      <c r="P94" s="15">
        <v>0.1736</v>
      </c>
      <c r="Q94" s="16">
        <f t="shared" si="2"/>
        <v>0.72322539682539699</v>
      </c>
      <c r="R94" s="10"/>
      <c r="S94" s="10" t="s">
        <v>315</v>
      </c>
    </row>
    <row r="95" spans="1:19" x14ac:dyDescent="0.2">
      <c r="A95" s="10" t="s">
        <v>316</v>
      </c>
      <c r="B95" s="10" t="s">
        <v>31</v>
      </c>
      <c r="C95" s="10" t="s">
        <v>314</v>
      </c>
      <c r="D95" s="10" t="s">
        <v>21</v>
      </c>
      <c r="E95" s="10">
        <v>42</v>
      </c>
      <c r="F95" s="10" t="s">
        <v>94</v>
      </c>
      <c r="G95" s="10" t="s">
        <v>101</v>
      </c>
      <c r="H95" s="10" t="s">
        <v>95</v>
      </c>
      <c r="I95" s="10" t="s">
        <v>184</v>
      </c>
      <c r="J95" s="10">
        <v>1024</v>
      </c>
      <c r="K95" s="10" t="s">
        <v>300</v>
      </c>
      <c r="L95" s="10">
        <v>21</v>
      </c>
      <c r="M95" s="15">
        <v>0.75</v>
      </c>
      <c r="N95" s="15">
        <v>0.86309523809523803</v>
      </c>
      <c r="O95" s="15">
        <v>0.952380952380952</v>
      </c>
      <c r="P95" s="15">
        <v>0.1736</v>
      </c>
      <c r="Q95" s="16">
        <f t="shared" si="2"/>
        <v>0.77878095238095202</v>
      </c>
      <c r="R95" s="10"/>
      <c r="S95" s="10" t="s">
        <v>317</v>
      </c>
    </row>
    <row r="96" spans="1:19" x14ac:dyDescent="0.2">
      <c r="A96" s="10" t="s">
        <v>318</v>
      </c>
      <c r="B96" s="10" t="s">
        <v>31</v>
      </c>
      <c r="C96" s="10" t="s">
        <v>314</v>
      </c>
      <c r="D96" s="10" t="s">
        <v>21</v>
      </c>
      <c r="E96" s="10">
        <v>42</v>
      </c>
      <c r="F96" s="10" t="s">
        <v>104</v>
      </c>
      <c r="G96" s="10" t="s">
        <v>101</v>
      </c>
      <c r="H96" s="10" t="s">
        <v>95</v>
      </c>
      <c r="I96" s="10" t="s">
        <v>184</v>
      </c>
      <c r="J96" s="10">
        <v>1024</v>
      </c>
      <c r="K96" s="10" t="s">
        <v>300</v>
      </c>
      <c r="L96" s="10">
        <v>21</v>
      </c>
      <c r="M96" s="15">
        <v>0.875</v>
      </c>
      <c r="N96" s="15">
        <v>0.875</v>
      </c>
      <c r="O96" s="15">
        <v>0.84126984126984095</v>
      </c>
      <c r="P96" s="15">
        <v>0.1736</v>
      </c>
      <c r="Q96" s="16">
        <f t="shared" si="2"/>
        <v>0.66766984126984097</v>
      </c>
      <c r="R96" s="10"/>
      <c r="S96" s="10" t="s">
        <v>319</v>
      </c>
    </row>
    <row r="97" spans="1:19" x14ac:dyDescent="0.2">
      <c r="A97" s="10" t="s">
        <v>320</v>
      </c>
      <c r="B97" s="10" t="s">
        <v>31</v>
      </c>
      <c r="C97" s="10" t="s">
        <v>321</v>
      </c>
      <c r="D97" s="10" t="s">
        <v>21</v>
      </c>
      <c r="E97" s="10">
        <v>1</v>
      </c>
      <c r="F97" s="10" t="s">
        <v>261</v>
      </c>
      <c r="G97" s="10" t="s">
        <v>101</v>
      </c>
      <c r="H97" s="10" t="s">
        <v>95</v>
      </c>
      <c r="I97" s="10" t="s">
        <v>184</v>
      </c>
      <c r="J97" s="10">
        <v>1024</v>
      </c>
      <c r="K97" s="10" t="s">
        <v>300</v>
      </c>
      <c r="L97" s="10">
        <v>21</v>
      </c>
      <c r="M97" s="15"/>
      <c r="N97" s="15">
        <v>0.84523809523809501</v>
      </c>
      <c r="O97" s="15">
        <v>0.82539682539682502</v>
      </c>
      <c r="P97" s="15">
        <v>0.1736</v>
      </c>
      <c r="Q97" s="16">
        <f t="shared" si="2"/>
        <v>0.65179682539682504</v>
      </c>
      <c r="R97" s="10" t="s">
        <v>284</v>
      </c>
      <c r="S97" s="10" t="s">
        <v>322</v>
      </c>
    </row>
    <row r="98" spans="1:19" x14ac:dyDescent="0.2">
      <c r="A98" s="10" t="s">
        <v>323</v>
      </c>
      <c r="B98" s="10" t="s">
        <v>31</v>
      </c>
      <c r="C98" s="10" t="s">
        <v>324</v>
      </c>
      <c r="D98" s="10" t="s">
        <v>21</v>
      </c>
      <c r="E98" s="10">
        <v>2</v>
      </c>
      <c r="F98" s="10" t="s">
        <v>261</v>
      </c>
      <c r="G98" s="10" t="s">
        <v>101</v>
      </c>
      <c r="H98" s="10" t="s">
        <v>95</v>
      </c>
      <c r="I98" s="10" t="s">
        <v>184</v>
      </c>
      <c r="J98" s="10">
        <v>1024</v>
      </c>
      <c r="K98" s="10" t="s">
        <v>300</v>
      </c>
      <c r="L98" s="10">
        <v>21</v>
      </c>
      <c r="M98" s="15"/>
      <c r="N98" s="15">
        <v>0.83928571428571397</v>
      </c>
      <c r="O98" s="15">
        <v>0.80555555555555602</v>
      </c>
      <c r="P98" s="15">
        <v>0.1736</v>
      </c>
      <c r="Q98" s="16">
        <f t="shared" ref="Q98:Q129" si="3">IF(AND(ISNUMBER(O98),ISNUMBER(P98)),O98-P98,"")</f>
        <v>0.63195555555555605</v>
      </c>
      <c r="R98" s="10" t="s">
        <v>284</v>
      </c>
      <c r="S98" s="10" t="s">
        <v>325</v>
      </c>
    </row>
    <row r="99" spans="1:19" x14ac:dyDescent="0.2">
      <c r="A99" s="10" t="s">
        <v>326</v>
      </c>
      <c r="B99" s="10" t="s">
        <v>31</v>
      </c>
      <c r="C99" s="10" t="s">
        <v>327</v>
      </c>
      <c r="D99" s="10" t="s">
        <v>21</v>
      </c>
      <c r="E99" s="10">
        <v>42</v>
      </c>
      <c r="F99" s="10" t="s">
        <v>261</v>
      </c>
      <c r="G99" s="10" t="s">
        <v>101</v>
      </c>
      <c r="H99" s="10" t="s">
        <v>95</v>
      </c>
      <c r="I99" s="10" t="s">
        <v>184</v>
      </c>
      <c r="J99" s="10">
        <v>1024</v>
      </c>
      <c r="K99" s="10" t="s">
        <v>300</v>
      </c>
      <c r="L99" s="10">
        <v>21</v>
      </c>
      <c r="M99" s="15"/>
      <c r="N99" s="15">
        <v>0.84523809523809501</v>
      </c>
      <c r="O99" s="15">
        <v>0.90476190476190499</v>
      </c>
      <c r="P99" s="15">
        <v>0.1736</v>
      </c>
      <c r="Q99" s="16">
        <f t="shared" si="3"/>
        <v>0.73116190476190501</v>
      </c>
      <c r="R99" s="10" t="s">
        <v>284</v>
      </c>
      <c r="S99" s="10" t="s">
        <v>328</v>
      </c>
    </row>
    <row r="100" spans="1:19" x14ac:dyDescent="0.2">
      <c r="A100" s="10" t="s">
        <v>329</v>
      </c>
      <c r="B100" s="10" t="s">
        <v>31</v>
      </c>
      <c r="C100" s="10" t="s">
        <v>35</v>
      </c>
      <c r="D100" s="17" t="s">
        <v>36</v>
      </c>
      <c r="E100" s="10">
        <v>42</v>
      </c>
      <c r="F100" s="10" t="s">
        <v>93</v>
      </c>
      <c r="G100" s="10" t="s">
        <v>101</v>
      </c>
      <c r="H100" s="10" t="s">
        <v>95</v>
      </c>
      <c r="I100" s="10" t="s">
        <v>330</v>
      </c>
      <c r="J100" s="10"/>
      <c r="K100" s="10" t="s">
        <v>330</v>
      </c>
      <c r="L100" s="10">
        <v>21</v>
      </c>
      <c r="M100" s="15">
        <v>0.61111111111111105</v>
      </c>
      <c r="N100" s="15">
        <v>0.23270538984824701</v>
      </c>
      <c r="O100" s="15">
        <v>0.17475039928047501</v>
      </c>
      <c r="P100" s="15">
        <v>0.1736</v>
      </c>
      <c r="Q100" s="16">
        <f t="shared" si="3"/>
        <v>1.1503992804750007E-3</v>
      </c>
      <c r="R100" s="10" t="s">
        <v>331</v>
      </c>
      <c r="S100" s="10" t="s">
        <v>332</v>
      </c>
    </row>
    <row r="101" spans="1:19" x14ac:dyDescent="0.2">
      <c r="A101" s="10" t="s">
        <v>333</v>
      </c>
      <c r="B101" s="10" t="s">
        <v>31</v>
      </c>
      <c r="C101" s="10" t="s">
        <v>35</v>
      </c>
      <c r="D101" s="17" t="s">
        <v>36</v>
      </c>
      <c r="E101" s="10">
        <v>42</v>
      </c>
      <c r="F101" s="10" t="s">
        <v>94</v>
      </c>
      <c r="G101" s="10" t="s">
        <v>101</v>
      </c>
      <c r="H101" s="10" t="s">
        <v>95</v>
      </c>
      <c r="I101" s="10" t="s">
        <v>330</v>
      </c>
      <c r="J101" s="10"/>
      <c r="K101" s="10" t="s">
        <v>330</v>
      </c>
      <c r="L101" s="10">
        <v>21</v>
      </c>
      <c r="M101" s="15">
        <v>0.75</v>
      </c>
      <c r="N101" s="15">
        <v>0.23684807256235799</v>
      </c>
      <c r="O101" s="15">
        <v>0.183048141556545</v>
      </c>
      <c r="P101" s="15">
        <v>0.1736</v>
      </c>
      <c r="Q101" s="16">
        <f t="shared" si="3"/>
        <v>9.4481415565449978E-3</v>
      </c>
      <c r="R101" s="10" t="s">
        <v>331</v>
      </c>
      <c r="S101" s="10" t="s">
        <v>334</v>
      </c>
    </row>
    <row r="102" spans="1:19" x14ac:dyDescent="0.2">
      <c r="A102" s="10" t="s">
        <v>335</v>
      </c>
      <c r="B102" s="10" t="s">
        <v>31</v>
      </c>
      <c r="C102" s="10" t="s">
        <v>35</v>
      </c>
      <c r="D102" s="17" t="s">
        <v>36</v>
      </c>
      <c r="E102" s="10">
        <v>42</v>
      </c>
      <c r="F102" s="10" t="s">
        <v>104</v>
      </c>
      <c r="G102" s="10" t="s">
        <v>101</v>
      </c>
      <c r="H102" s="10" t="s">
        <v>95</v>
      </c>
      <c r="I102" s="10" t="s">
        <v>330</v>
      </c>
      <c r="J102" s="10"/>
      <c r="K102" s="10" t="s">
        <v>330</v>
      </c>
      <c r="L102" s="10">
        <v>21</v>
      </c>
      <c r="M102" s="15">
        <v>0.52083333333333304</v>
      </c>
      <c r="N102" s="15">
        <v>0.25957435421721098</v>
      </c>
      <c r="O102" s="15">
        <v>0.17560269926479599</v>
      </c>
      <c r="P102" s="15">
        <v>0.1736</v>
      </c>
      <c r="Q102" s="16">
        <f t="shared" si="3"/>
        <v>2.0026992647959874E-3</v>
      </c>
      <c r="R102" s="10" t="s">
        <v>331</v>
      </c>
      <c r="S102" s="10" t="s">
        <v>336</v>
      </c>
    </row>
    <row r="103" spans="1:19" x14ac:dyDescent="0.2">
      <c r="A103" s="10" t="s">
        <v>337</v>
      </c>
      <c r="B103" s="10" t="s">
        <v>37</v>
      </c>
      <c r="C103" s="10" t="s">
        <v>338</v>
      </c>
      <c r="D103" s="10" t="s">
        <v>21</v>
      </c>
      <c r="E103" s="10"/>
      <c r="F103" s="10" t="s">
        <v>93</v>
      </c>
      <c r="G103" s="10" t="s">
        <v>101</v>
      </c>
      <c r="H103" s="10" t="s">
        <v>95</v>
      </c>
      <c r="I103" s="10" t="s">
        <v>184</v>
      </c>
      <c r="J103" s="10">
        <v>1024</v>
      </c>
      <c r="K103" s="10" t="s">
        <v>300</v>
      </c>
      <c r="L103" s="10">
        <v>332</v>
      </c>
      <c r="M103" s="15"/>
      <c r="N103" s="15"/>
      <c r="O103" s="15">
        <v>0.45065441381230897</v>
      </c>
      <c r="P103" s="15">
        <v>1.9199999999999998E-2</v>
      </c>
      <c r="Q103" s="16">
        <f t="shared" si="3"/>
        <v>0.43145441381230898</v>
      </c>
      <c r="R103" s="10" t="s">
        <v>339</v>
      </c>
      <c r="S103" s="10" t="s">
        <v>340</v>
      </c>
    </row>
    <row r="104" spans="1:19" x14ac:dyDescent="0.2">
      <c r="A104" s="10" t="s">
        <v>341</v>
      </c>
      <c r="B104" s="10" t="s">
        <v>37</v>
      </c>
      <c r="C104" s="10" t="s">
        <v>338</v>
      </c>
      <c r="D104" s="10" t="s">
        <v>21</v>
      </c>
      <c r="E104" s="10"/>
      <c r="F104" s="10" t="s">
        <v>94</v>
      </c>
      <c r="G104" s="10" t="s">
        <v>101</v>
      </c>
      <c r="H104" s="10" t="s">
        <v>95</v>
      </c>
      <c r="I104" s="10" t="s">
        <v>184</v>
      </c>
      <c r="J104" s="10">
        <v>1024</v>
      </c>
      <c r="K104" s="10" t="s">
        <v>300</v>
      </c>
      <c r="L104" s="10">
        <v>332</v>
      </c>
      <c r="M104" s="15"/>
      <c r="N104" s="15"/>
      <c r="O104" s="15">
        <v>0.53738880167451597</v>
      </c>
      <c r="P104" s="15">
        <v>1.9199999999999998E-2</v>
      </c>
      <c r="Q104" s="16">
        <f t="shared" si="3"/>
        <v>0.51818880167451598</v>
      </c>
      <c r="R104" s="10" t="s">
        <v>339</v>
      </c>
      <c r="S104" s="10" t="s">
        <v>342</v>
      </c>
    </row>
    <row r="105" spans="1:19" x14ac:dyDescent="0.2">
      <c r="A105" s="10" t="s">
        <v>343</v>
      </c>
      <c r="B105" s="10" t="s">
        <v>37</v>
      </c>
      <c r="C105" s="10" t="s">
        <v>338</v>
      </c>
      <c r="D105" s="10" t="s">
        <v>21</v>
      </c>
      <c r="E105" s="10"/>
      <c r="F105" s="10" t="s">
        <v>261</v>
      </c>
      <c r="G105" s="10" t="s">
        <v>101</v>
      </c>
      <c r="H105" s="10" t="s">
        <v>95</v>
      </c>
      <c r="I105" s="10" t="s">
        <v>184</v>
      </c>
      <c r="J105" s="10">
        <v>1024</v>
      </c>
      <c r="K105" s="10" t="s">
        <v>300</v>
      </c>
      <c r="L105" s="10">
        <v>332</v>
      </c>
      <c r="M105" s="15"/>
      <c r="N105" s="15"/>
      <c r="O105" s="15">
        <v>0.499321951002623</v>
      </c>
      <c r="P105" s="15">
        <v>1.9199999999999998E-2</v>
      </c>
      <c r="Q105" s="16">
        <f t="shared" si="3"/>
        <v>0.480121951002623</v>
      </c>
      <c r="R105" s="10" t="s">
        <v>339</v>
      </c>
      <c r="S105" s="10" t="s">
        <v>344</v>
      </c>
    </row>
    <row r="106" spans="1:19" x14ac:dyDescent="0.2">
      <c r="A106" s="10" t="s">
        <v>345</v>
      </c>
      <c r="B106" s="10" t="s">
        <v>37</v>
      </c>
      <c r="C106" s="10" t="s">
        <v>338</v>
      </c>
      <c r="D106" s="10" t="s">
        <v>21</v>
      </c>
      <c r="E106" s="10"/>
      <c r="F106" s="10" t="s">
        <v>104</v>
      </c>
      <c r="G106" s="10" t="s">
        <v>101</v>
      </c>
      <c r="H106" s="10" t="s">
        <v>95</v>
      </c>
      <c r="I106" s="10" t="s">
        <v>184</v>
      </c>
      <c r="J106" s="10">
        <v>1024</v>
      </c>
      <c r="K106" s="10" t="s">
        <v>300</v>
      </c>
      <c r="L106" s="10">
        <v>332</v>
      </c>
      <c r="M106" s="15"/>
      <c r="N106" s="15"/>
      <c r="O106" s="15">
        <v>0.497247918193717</v>
      </c>
      <c r="P106" s="15">
        <v>1.9199999999999998E-2</v>
      </c>
      <c r="Q106" s="16">
        <f t="shared" si="3"/>
        <v>0.478047918193717</v>
      </c>
      <c r="R106" s="10" t="s">
        <v>339</v>
      </c>
      <c r="S106" s="10" t="s">
        <v>346</v>
      </c>
    </row>
    <row r="107" spans="1:19" x14ac:dyDescent="0.2">
      <c r="A107" s="10" t="s">
        <v>347</v>
      </c>
      <c r="B107" s="10" t="s">
        <v>37</v>
      </c>
      <c r="C107" s="10" t="s">
        <v>348</v>
      </c>
      <c r="D107" s="10" t="s">
        <v>21</v>
      </c>
      <c r="E107" s="10"/>
      <c r="F107" s="10" t="s">
        <v>93</v>
      </c>
      <c r="G107" s="10" t="s">
        <v>101</v>
      </c>
      <c r="H107" s="10" t="s">
        <v>95</v>
      </c>
      <c r="I107" s="10" t="s">
        <v>184</v>
      </c>
      <c r="J107" s="10">
        <v>1024</v>
      </c>
      <c r="K107" s="10" t="s">
        <v>97</v>
      </c>
      <c r="L107" s="10">
        <v>332</v>
      </c>
      <c r="M107" s="15"/>
      <c r="N107" s="15"/>
      <c r="O107" s="15">
        <v>0.61930886573743704</v>
      </c>
      <c r="P107" s="15">
        <v>1.9199999999999998E-2</v>
      </c>
      <c r="Q107" s="16">
        <f t="shared" si="3"/>
        <v>0.60010886573743705</v>
      </c>
      <c r="R107" s="10" t="s">
        <v>339</v>
      </c>
      <c r="S107" s="10" t="s">
        <v>349</v>
      </c>
    </row>
    <row r="108" spans="1:19" x14ac:dyDescent="0.2">
      <c r="A108" s="10" t="s">
        <v>350</v>
      </c>
      <c r="B108" s="10" t="s">
        <v>37</v>
      </c>
      <c r="C108" s="10" t="s">
        <v>348</v>
      </c>
      <c r="D108" s="10" t="s">
        <v>21</v>
      </c>
      <c r="E108" s="10"/>
      <c r="F108" s="10" t="s">
        <v>94</v>
      </c>
      <c r="G108" s="10" t="s">
        <v>101</v>
      </c>
      <c r="H108" s="10" t="s">
        <v>95</v>
      </c>
      <c r="I108" s="10" t="s">
        <v>184</v>
      </c>
      <c r="J108" s="10">
        <v>1024</v>
      </c>
      <c r="K108" s="10" t="s">
        <v>97</v>
      </c>
      <c r="L108" s="10">
        <v>332</v>
      </c>
      <c r="M108" s="15"/>
      <c r="N108" s="15"/>
      <c r="O108" s="15">
        <v>0.63783222690785701</v>
      </c>
      <c r="P108" s="15">
        <v>1.9199999999999998E-2</v>
      </c>
      <c r="Q108" s="16">
        <f t="shared" si="3"/>
        <v>0.61863222690785702</v>
      </c>
      <c r="R108" s="10" t="s">
        <v>339</v>
      </c>
      <c r="S108" s="10" t="s">
        <v>351</v>
      </c>
    </row>
    <row r="109" spans="1:19" x14ac:dyDescent="0.2">
      <c r="A109" s="10" t="s">
        <v>352</v>
      </c>
      <c r="B109" s="10" t="s">
        <v>37</v>
      </c>
      <c r="C109" s="10" t="s">
        <v>348</v>
      </c>
      <c r="D109" s="10" t="s">
        <v>21</v>
      </c>
      <c r="E109" s="10"/>
      <c r="F109" s="10" t="s">
        <v>261</v>
      </c>
      <c r="G109" s="10" t="s">
        <v>101</v>
      </c>
      <c r="H109" s="10" t="s">
        <v>95</v>
      </c>
      <c r="I109" s="10" t="s">
        <v>184</v>
      </c>
      <c r="J109" s="10">
        <v>1024</v>
      </c>
      <c r="K109" s="10" t="s">
        <v>97</v>
      </c>
      <c r="L109" s="10">
        <v>332</v>
      </c>
      <c r="M109" s="15"/>
      <c r="N109" s="15"/>
      <c r="O109" s="15">
        <v>0.63781179138321997</v>
      </c>
      <c r="P109" s="15">
        <v>1.9199999999999998E-2</v>
      </c>
      <c r="Q109" s="16">
        <f t="shared" si="3"/>
        <v>0.61861179138321998</v>
      </c>
      <c r="R109" s="10" t="s">
        <v>339</v>
      </c>
      <c r="S109" s="10" t="s">
        <v>353</v>
      </c>
    </row>
    <row r="110" spans="1:19" x14ac:dyDescent="0.2">
      <c r="A110" s="10" t="s">
        <v>354</v>
      </c>
      <c r="B110" s="10" t="s">
        <v>37</v>
      </c>
      <c r="C110" s="10" t="s">
        <v>348</v>
      </c>
      <c r="D110" s="10" t="s">
        <v>21</v>
      </c>
      <c r="E110" s="10"/>
      <c r="F110" s="10" t="s">
        <v>104</v>
      </c>
      <c r="G110" s="10" t="s">
        <v>101</v>
      </c>
      <c r="H110" s="10" t="s">
        <v>95</v>
      </c>
      <c r="I110" s="10" t="s">
        <v>184</v>
      </c>
      <c r="J110" s="10">
        <v>1024</v>
      </c>
      <c r="K110" s="10" t="s">
        <v>97</v>
      </c>
      <c r="L110" s="10">
        <v>332</v>
      </c>
      <c r="M110" s="15"/>
      <c r="N110" s="15"/>
      <c r="O110" s="15">
        <v>0.71595304788582104</v>
      </c>
      <c r="P110" s="15">
        <v>1.9199999999999998E-2</v>
      </c>
      <c r="Q110" s="16">
        <f t="shared" si="3"/>
        <v>0.69675304788582104</v>
      </c>
      <c r="R110" s="10" t="s">
        <v>339</v>
      </c>
      <c r="S110" s="10" t="s">
        <v>355</v>
      </c>
    </row>
    <row r="111" spans="1:19" x14ac:dyDescent="0.2">
      <c r="A111" s="10" t="s">
        <v>356</v>
      </c>
      <c r="B111" s="10" t="s">
        <v>37</v>
      </c>
      <c r="C111" s="10" t="s">
        <v>357</v>
      </c>
      <c r="D111" s="10" t="s">
        <v>21</v>
      </c>
      <c r="E111" s="10">
        <v>42</v>
      </c>
      <c r="F111" s="10" t="s">
        <v>261</v>
      </c>
      <c r="G111" s="10" t="s">
        <v>101</v>
      </c>
      <c r="H111" s="10" t="s">
        <v>95</v>
      </c>
      <c r="I111" s="10" t="s">
        <v>184</v>
      </c>
      <c r="J111" s="10">
        <v>1024</v>
      </c>
      <c r="K111" s="10" t="s">
        <v>300</v>
      </c>
      <c r="L111" s="10">
        <v>21</v>
      </c>
      <c r="M111" s="15"/>
      <c r="N111" s="15">
        <v>0.84523809523809501</v>
      </c>
      <c r="O111" s="15">
        <v>0.90476190476190499</v>
      </c>
      <c r="P111" s="15">
        <v>0.1736</v>
      </c>
      <c r="Q111" s="16">
        <f t="shared" si="3"/>
        <v>0.73116190476190501</v>
      </c>
      <c r="R111" s="10" t="s">
        <v>358</v>
      </c>
      <c r="S111" s="10" t="s">
        <v>359</v>
      </c>
    </row>
    <row r="112" spans="1:19" x14ac:dyDescent="0.2">
      <c r="A112" s="10" t="s">
        <v>360</v>
      </c>
      <c r="B112" s="10" t="s">
        <v>37</v>
      </c>
      <c r="C112" s="10" t="s">
        <v>361</v>
      </c>
      <c r="D112" s="10" t="s">
        <v>21</v>
      </c>
      <c r="E112" s="10">
        <v>42</v>
      </c>
      <c r="F112" s="10" t="s">
        <v>93</v>
      </c>
      <c r="G112" s="10" t="s">
        <v>101</v>
      </c>
      <c r="H112" s="10" t="s">
        <v>95</v>
      </c>
      <c r="I112" s="10" t="s">
        <v>184</v>
      </c>
      <c r="J112" s="10">
        <v>1024</v>
      </c>
      <c r="K112" s="10" t="s">
        <v>300</v>
      </c>
      <c r="L112" s="10">
        <v>21</v>
      </c>
      <c r="M112" s="15">
        <v>0.55555555555555602</v>
      </c>
      <c r="N112" s="15">
        <v>0.86904761904761896</v>
      </c>
      <c r="O112" s="15">
        <v>0.90476190476190499</v>
      </c>
      <c r="P112" s="15">
        <v>0.1736</v>
      </c>
      <c r="Q112" s="16">
        <f t="shared" si="3"/>
        <v>0.73116190476190501</v>
      </c>
      <c r="R112" s="10" t="s">
        <v>362</v>
      </c>
      <c r="S112" s="10" t="s">
        <v>363</v>
      </c>
    </row>
    <row r="113" spans="1:19" x14ac:dyDescent="0.2">
      <c r="A113" s="10" t="s">
        <v>364</v>
      </c>
      <c r="B113" s="10" t="s">
        <v>37</v>
      </c>
      <c r="C113" s="10" t="s">
        <v>361</v>
      </c>
      <c r="D113" s="10" t="s">
        <v>21</v>
      </c>
      <c r="E113" s="10">
        <v>42</v>
      </c>
      <c r="F113" s="10" t="s">
        <v>94</v>
      </c>
      <c r="G113" s="10" t="s">
        <v>101</v>
      </c>
      <c r="H113" s="10" t="s">
        <v>95</v>
      </c>
      <c r="I113" s="10" t="s">
        <v>184</v>
      </c>
      <c r="J113" s="10">
        <v>1024</v>
      </c>
      <c r="K113" s="10" t="s">
        <v>300</v>
      </c>
      <c r="L113" s="10">
        <v>21</v>
      </c>
      <c r="M113" s="15">
        <v>0.75</v>
      </c>
      <c r="N113" s="15">
        <v>0.86309523809523803</v>
      </c>
      <c r="O113" s="15">
        <v>0.92857142857142905</v>
      </c>
      <c r="P113" s="15">
        <v>0.1736</v>
      </c>
      <c r="Q113" s="16">
        <f t="shared" si="3"/>
        <v>0.75497142857142907</v>
      </c>
      <c r="R113" s="10" t="s">
        <v>362</v>
      </c>
      <c r="S113" s="10" t="s">
        <v>365</v>
      </c>
    </row>
    <row r="114" spans="1:19" x14ac:dyDescent="0.2">
      <c r="A114" s="10" t="s">
        <v>366</v>
      </c>
      <c r="B114" s="10" t="s">
        <v>37</v>
      </c>
      <c r="C114" s="10" t="s">
        <v>361</v>
      </c>
      <c r="D114" s="10" t="s">
        <v>21</v>
      </c>
      <c r="E114" s="10">
        <v>42</v>
      </c>
      <c r="F114" s="10" t="s">
        <v>104</v>
      </c>
      <c r="G114" s="10" t="s">
        <v>101</v>
      </c>
      <c r="H114" s="10" t="s">
        <v>95</v>
      </c>
      <c r="I114" s="10" t="s">
        <v>184</v>
      </c>
      <c r="J114" s="10">
        <v>1024</v>
      </c>
      <c r="K114" s="10" t="s">
        <v>300</v>
      </c>
      <c r="L114" s="10">
        <v>21</v>
      </c>
      <c r="M114" s="15">
        <v>0.875</v>
      </c>
      <c r="N114" s="15">
        <v>0.875</v>
      </c>
      <c r="O114" s="15">
        <v>0.84126984126984095</v>
      </c>
      <c r="P114" s="15">
        <v>0.1736</v>
      </c>
      <c r="Q114" s="16">
        <f t="shared" si="3"/>
        <v>0.66766984126984097</v>
      </c>
      <c r="R114" s="10" t="s">
        <v>362</v>
      </c>
      <c r="S114" s="10" t="s">
        <v>367</v>
      </c>
    </row>
    <row r="115" spans="1:19" x14ac:dyDescent="0.2">
      <c r="A115" s="10" t="s">
        <v>368</v>
      </c>
      <c r="B115" s="10" t="s">
        <v>37</v>
      </c>
      <c r="C115" s="10" t="s">
        <v>369</v>
      </c>
      <c r="D115" s="10" t="s">
        <v>21</v>
      </c>
      <c r="E115" s="10">
        <v>42</v>
      </c>
      <c r="F115" s="10" t="s">
        <v>261</v>
      </c>
      <c r="G115" s="10" t="s">
        <v>101</v>
      </c>
      <c r="H115" s="10" t="s">
        <v>95</v>
      </c>
      <c r="I115" s="10" t="s">
        <v>184</v>
      </c>
      <c r="J115" s="10">
        <v>1024</v>
      </c>
      <c r="K115" s="10" t="s">
        <v>97</v>
      </c>
      <c r="L115" s="10">
        <v>21</v>
      </c>
      <c r="M115" s="15"/>
      <c r="N115" s="15">
        <v>0.91071428571428603</v>
      </c>
      <c r="O115" s="15">
        <v>0.91666666666666696</v>
      </c>
      <c r="P115" s="15">
        <v>0.1736</v>
      </c>
      <c r="Q115" s="16">
        <f t="shared" si="3"/>
        <v>0.74306666666666699</v>
      </c>
      <c r="R115" s="10" t="s">
        <v>358</v>
      </c>
      <c r="S115" s="10" t="s">
        <v>370</v>
      </c>
    </row>
    <row r="116" spans="1:19" x14ac:dyDescent="0.2">
      <c r="A116" s="10" t="s">
        <v>371</v>
      </c>
      <c r="B116" s="10" t="s">
        <v>37</v>
      </c>
      <c r="C116" s="10" t="s">
        <v>372</v>
      </c>
      <c r="D116" s="10" t="s">
        <v>21</v>
      </c>
      <c r="E116" s="10">
        <v>42</v>
      </c>
      <c r="F116" s="10" t="s">
        <v>93</v>
      </c>
      <c r="G116" s="10" t="s">
        <v>101</v>
      </c>
      <c r="H116" s="10" t="s">
        <v>95</v>
      </c>
      <c r="I116" s="10" t="s">
        <v>184</v>
      </c>
      <c r="J116" s="10">
        <v>1024</v>
      </c>
      <c r="K116" s="10" t="s">
        <v>97</v>
      </c>
      <c r="L116" s="10">
        <v>21</v>
      </c>
      <c r="M116" s="15">
        <v>0.61111111111111105</v>
      </c>
      <c r="N116" s="15">
        <v>0.82142857142857095</v>
      </c>
      <c r="O116" s="15">
        <v>0.87619047619047596</v>
      </c>
      <c r="P116" s="15">
        <v>0.1736</v>
      </c>
      <c r="Q116" s="16">
        <f t="shared" si="3"/>
        <v>0.70259047619047599</v>
      </c>
      <c r="R116" s="10" t="s">
        <v>362</v>
      </c>
      <c r="S116" s="10" t="s">
        <v>373</v>
      </c>
    </row>
    <row r="117" spans="1:19" x14ac:dyDescent="0.2">
      <c r="A117" s="10" t="s">
        <v>374</v>
      </c>
      <c r="B117" s="10" t="s">
        <v>37</v>
      </c>
      <c r="C117" s="10" t="s">
        <v>372</v>
      </c>
      <c r="D117" s="10" t="s">
        <v>21</v>
      </c>
      <c r="E117" s="10">
        <v>42</v>
      </c>
      <c r="F117" s="10" t="s">
        <v>94</v>
      </c>
      <c r="G117" s="10" t="s">
        <v>101</v>
      </c>
      <c r="H117" s="10" t="s">
        <v>95</v>
      </c>
      <c r="I117" s="10" t="s">
        <v>184</v>
      </c>
      <c r="J117" s="10">
        <v>1024</v>
      </c>
      <c r="K117" s="10" t="s">
        <v>97</v>
      </c>
      <c r="L117" s="10">
        <v>21</v>
      </c>
      <c r="M117" s="15">
        <v>0.75</v>
      </c>
      <c r="N117" s="15">
        <v>0.90714285714285703</v>
      </c>
      <c r="O117" s="15">
        <v>0.92857142857142905</v>
      </c>
      <c r="P117" s="15">
        <v>0.1736</v>
      </c>
      <c r="Q117" s="16">
        <f t="shared" si="3"/>
        <v>0.75497142857142907</v>
      </c>
      <c r="R117" s="10" t="s">
        <v>362</v>
      </c>
      <c r="S117" s="10" t="s">
        <v>375</v>
      </c>
    </row>
    <row r="118" spans="1:19" x14ac:dyDescent="0.2">
      <c r="A118" s="10" t="s">
        <v>376</v>
      </c>
      <c r="B118" s="10" t="s">
        <v>37</v>
      </c>
      <c r="C118" s="10" t="s">
        <v>372</v>
      </c>
      <c r="D118" s="10" t="s">
        <v>21</v>
      </c>
      <c r="E118" s="10">
        <v>42</v>
      </c>
      <c r="F118" s="10" t="s">
        <v>104</v>
      </c>
      <c r="G118" s="10" t="s">
        <v>101</v>
      </c>
      <c r="H118" s="10" t="s">
        <v>95</v>
      </c>
      <c r="I118" s="10" t="s">
        <v>184</v>
      </c>
      <c r="J118" s="10">
        <v>1024</v>
      </c>
      <c r="K118" s="10" t="s">
        <v>97</v>
      </c>
      <c r="L118" s="10">
        <v>21</v>
      </c>
      <c r="M118" s="15">
        <v>0.70833333333333304</v>
      </c>
      <c r="N118" s="15">
        <v>0.83571428571428596</v>
      </c>
      <c r="O118" s="15">
        <v>0.952380952380952</v>
      </c>
      <c r="P118" s="15">
        <v>0.1736</v>
      </c>
      <c r="Q118" s="16">
        <f t="shared" si="3"/>
        <v>0.77878095238095202</v>
      </c>
      <c r="R118" s="10" t="s">
        <v>362</v>
      </c>
      <c r="S118" s="10" t="s">
        <v>377</v>
      </c>
    </row>
    <row r="119" spans="1:19" x14ac:dyDescent="0.2">
      <c r="A119" s="10" t="s">
        <v>378</v>
      </c>
      <c r="B119" s="10" t="s">
        <v>41</v>
      </c>
      <c r="C119" s="10" t="s">
        <v>379</v>
      </c>
      <c r="D119" s="10" t="s">
        <v>21</v>
      </c>
      <c r="E119" s="10">
        <v>42</v>
      </c>
      <c r="F119" s="10" t="s">
        <v>93</v>
      </c>
      <c r="G119" s="10" t="s">
        <v>101</v>
      </c>
      <c r="H119" s="10" t="s">
        <v>95</v>
      </c>
      <c r="I119" s="10" t="s">
        <v>184</v>
      </c>
      <c r="J119" s="10">
        <v>1024</v>
      </c>
      <c r="K119" s="10" t="s">
        <v>97</v>
      </c>
      <c r="L119" s="10">
        <v>21</v>
      </c>
      <c r="M119" s="15">
        <v>0.66666666666666696</v>
      </c>
      <c r="N119" s="15">
        <v>0.83333333333333304</v>
      </c>
      <c r="O119" s="15">
        <v>0.87301587301587302</v>
      </c>
      <c r="P119" s="15">
        <v>0.1736</v>
      </c>
      <c r="Q119" s="16">
        <f t="shared" si="3"/>
        <v>0.69941587301587305</v>
      </c>
      <c r="R119" s="10" t="s">
        <v>380</v>
      </c>
      <c r="S119" s="10" t="s">
        <v>381</v>
      </c>
    </row>
    <row r="120" spans="1:19" x14ac:dyDescent="0.2">
      <c r="A120" s="10" t="s">
        <v>382</v>
      </c>
      <c r="B120" s="10" t="s">
        <v>41</v>
      </c>
      <c r="C120" s="10" t="s">
        <v>379</v>
      </c>
      <c r="D120" s="10" t="s">
        <v>21</v>
      </c>
      <c r="E120" s="10">
        <v>42</v>
      </c>
      <c r="F120" s="10" t="s">
        <v>94</v>
      </c>
      <c r="G120" s="10" t="s">
        <v>101</v>
      </c>
      <c r="H120" s="10" t="s">
        <v>95</v>
      </c>
      <c r="I120" s="10" t="s">
        <v>184</v>
      </c>
      <c r="J120" s="10">
        <v>1024</v>
      </c>
      <c r="K120" s="10" t="s">
        <v>97</v>
      </c>
      <c r="L120" s="10">
        <v>21</v>
      </c>
      <c r="M120" s="15">
        <v>0.5</v>
      </c>
      <c r="N120" s="15">
        <v>0.797619047619048</v>
      </c>
      <c r="O120" s="15">
        <v>0.85714285714285698</v>
      </c>
      <c r="P120" s="15">
        <v>0.1736</v>
      </c>
      <c r="Q120" s="16">
        <f t="shared" si="3"/>
        <v>0.68354285714285701</v>
      </c>
      <c r="R120" s="10" t="s">
        <v>380</v>
      </c>
      <c r="S120" s="10" t="s">
        <v>383</v>
      </c>
    </row>
    <row r="121" spans="1:19" x14ac:dyDescent="0.2">
      <c r="A121" s="10" t="s">
        <v>384</v>
      </c>
      <c r="B121" s="10" t="s">
        <v>41</v>
      </c>
      <c r="C121" s="10" t="s">
        <v>379</v>
      </c>
      <c r="D121" s="10" t="s">
        <v>21</v>
      </c>
      <c r="E121" s="10">
        <v>42</v>
      </c>
      <c r="F121" s="10" t="s">
        <v>104</v>
      </c>
      <c r="G121" s="10" t="s">
        <v>101</v>
      </c>
      <c r="H121" s="10" t="s">
        <v>95</v>
      </c>
      <c r="I121" s="10" t="s">
        <v>184</v>
      </c>
      <c r="J121" s="10">
        <v>1024</v>
      </c>
      <c r="K121" s="10" t="s">
        <v>97</v>
      </c>
      <c r="L121" s="10">
        <v>21</v>
      </c>
      <c r="M121" s="15">
        <v>0.875</v>
      </c>
      <c r="N121" s="15">
        <v>0.80357142857142905</v>
      </c>
      <c r="O121" s="15">
        <v>0.94444444444444398</v>
      </c>
      <c r="P121" s="15">
        <v>0.1736</v>
      </c>
      <c r="Q121" s="16">
        <f t="shared" si="3"/>
        <v>0.770844444444444</v>
      </c>
      <c r="R121" s="10" t="s">
        <v>380</v>
      </c>
      <c r="S121" s="10" t="s">
        <v>385</v>
      </c>
    </row>
    <row r="122" spans="1:19" x14ac:dyDescent="0.2">
      <c r="A122" s="10" t="s">
        <v>386</v>
      </c>
      <c r="B122" s="10" t="s">
        <v>41</v>
      </c>
      <c r="C122" s="10" t="s">
        <v>387</v>
      </c>
      <c r="D122" s="10" t="s">
        <v>21</v>
      </c>
      <c r="E122" s="10">
        <v>42</v>
      </c>
      <c r="F122" s="10" t="s">
        <v>93</v>
      </c>
      <c r="G122" s="10" t="s">
        <v>101</v>
      </c>
      <c r="H122" s="10" t="s">
        <v>95</v>
      </c>
      <c r="I122" s="10" t="s">
        <v>184</v>
      </c>
      <c r="J122" s="10">
        <v>1024</v>
      </c>
      <c r="K122" s="10" t="s">
        <v>97</v>
      </c>
      <c r="L122" s="10">
        <v>21</v>
      </c>
      <c r="M122" s="15">
        <v>0.55555555555555602</v>
      </c>
      <c r="N122" s="15">
        <v>0.81547619047619102</v>
      </c>
      <c r="O122" s="15">
        <v>0.83333333333333304</v>
      </c>
      <c r="P122" s="15">
        <v>0.1736</v>
      </c>
      <c r="Q122" s="16">
        <f t="shared" si="3"/>
        <v>0.65973333333333306</v>
      </c>
      <c r="R122" s="10" t="s">
        <v>388</v>
      </c>
      <c r="S122" s="10" t="s">
        <v>389</v>
      </c>
    </row>
    <row r="123" spans="1:19" x14ac:dyDescent="0.2">
      <c r="A123" s="10" t="s">
        <v>390</v>
      </c>
      <c r="B123" s="10" t="s">
        <v>41</v>
      </c>
      <c r="C123" s="10" t="s">
        <v>387</v>
      </c>
      <c r="D123" s="10" t="s">
        <v>21</v>
      </c>
      <c r="E123" s="10">
        <v>42</v>
      </c>
      <c r="F123" s="10" t="s">
        <v>94</v>
      </c>
      <c r="G123" s="10" t="s">
        <v>101</v>
      </c>
      <c r="H123" s="10" t="s">
        <v>95</v>
      </c>
      <c r="I123" s="10" t="s">
        <v>184</v>
      </c>
      <c r="J123" s="10">
        <v>1024</v>
      </c>
      <c r="K123" s="10" t="s">
        <v>97</v>
      </c>
      <c r="L123" s="10">
        <v>21</v>
      </c>
      <c r="M123" s="15">
        <v>0.75</v>
      </c>
      <c r="N123" s="15">
        <v>0.86309523809523803</v>
      </c>
      <c r="O123" s="15">
        <v>0.92857142857142905</v>
      </c>
      <c r="P123" s="15">
        <v>0.1736</v>
      </c>
      <c r="Q123" s="16">
        <f t="shared" si="3"/>
        <v>0.75497142857142907</v>
      </c>
      <c r="R123" s="10" t="s">
        <v>388</v>
      </c>
      <c r="S123" s="10" t="s">
        <v>391</v>
      </c>
    </row>
    <row r="124" spans="1:19" x14ac:dyDescent="0.2">
      <c r="A124" s="10" t="s">
        <v>392</v>
      </c>
      <c r="B124" s="10" t="s">
        <v>41</v>
      </c>
      <c r="C124" s="10" t="s">
        <v>387</v>
      </c>
      <c r="D124" s="10" t="s">
        <v>21</v>
      </c>
      <c r="E124" s="10">
        <v>42</v>
      </c>
      <c r="F124" s="10" t="s">
        <v>104</v>
      </c>
      <c r="G124" s="10" t="s">
        <v>101</v>
      </c>
      <c r="H124" s="10" t="s">
        <v>95</v>
      </c>
      <c r="I124" s="10" t="s">
        <v>184</v>
      </c>
      <c r="J124" s="10">
        <v>1024</v>
      </c>
      <c r="K124" s="10" t="s">
        <v>97</v>
      </c>
      <c r="L124" s="10">
        <v>21</v>
      </c>
      <c r="M124" s="15">
        <v>0.75</v>
      </c>
      <c r="N124" s="15">
        <v>0.875</v>
      </c>
      <c r="O124" s="15">
        <v>0.89682539682539697</v>
      </c>
      <c r="P124" s="15">
        <v>0.1736</v>
      </c>
      <c r="Q124" s="16">
        <f t="shared" si="3"/>
        <v>0.72322539682539699</v>
      </c>
      <c r="R124" s="10" t="s">
        <v>388</v>
      </c>
      <c r="S124" s="10" t="s">
        <v>393</v>
      </c>
    </row>
    <row r="125" spans="1:19" x14ac:dyDescent="0.2">
      <c r="A125" s="10" t="s">
        <v>394</v>
      </c>
      <c r="B125" s="10" t="s">
        <v>45</v>
      </c>
      <c r="C125" s="10" t="s">
        <v>395</v>
      </c>
      <c r="D125" s="10" t="s">
        <v>21</v>
      </c>
      <c r="E125" s="10">
        <v>42</v>
      </c>
      <c r="F125" s="10" t="s">
        <v>261</v>
      </c>
      <c r="G125" s="10" t="s">
        <v>396</v>
      </c>
      <c r="H125" s="10" t="s">
        <v>95</v>
      </c>
      <c r="I125" s="10" t="s">
        <v>184</v>
      </c>
      <c r="J125" s="10">
        <v>1024</v>
      </c>
      <c r="K125" s="10" t="s">
        <v>97</v>
      </c>
      <c r="L125" s="10">
        <v>21</v>
      </c>
      <c r="M125" s="15"/>
      <c r="N125" s="15">
        <v>0.69642857142857095</v>
      </c>
      <c r="O125" s="15">
        <v>0.78656462585034004</v>
      </c>
      <c r="P125" s="15">
        <v>0.1736</v>
      </c>
      <c r="Q125" s="16">
        <f t="shared" si="3"/>
        <v>0.61296462585034006</v>
      </c>
      <c r="R125" s="10" t="s">
        <v>397</v>
      </c>
      <c r="S125" s="10" t="s">
        <v>398</v>
      </c>
    </row>
    <row r="126" spans="1:19" x14ac:dyDescent="0.2">
      <c r="A126" s="10" t="s">
        <v>399</v>
      </c>
      <c r="B126" s="10" t="s">
        <v>45</v>
      </c>
      <c r="C126" s="10" t="s">
        <v>395</v>
      </c>
      <c r="D126" s="10" t="s">
        <v>21</v>
      </c>
      <c r="E126" s="10">
        <v>42</v>
      </c>
      <c r="F126" s="10" t="s">
        <v>261</v>
      </c>
      <c r="G126" s="10" t="s">
        <v>400</v>
      </c>
      <c r="H126" s="10" t="s">
        <v>95</v>
      </c>
      <c r="I126" s="10" t="s">
        <v>184</v>
      </c>
      <c r="J126" s="10">
        <v>1024</v>
      </c>
      <c r="K126" s="10" t="s">
        <v>97</v>
      </c>
      <c r="L126" s="10">
        <v>21</v>
      </c>
      <c r="M126" s="15"/>
      <c r="N126" s="15">
        <v>0.70357142857142896</v>
      </c>
      <c r="O126" s="15">
        <v>0.84391534391534395</v>
      </c>
      <c r="P126" s="15">
        <v>0.1736</v>
      </c>
      <c r="Q126" s="16">
        <f t="shared" si="3"/>
        <v>0.67031534391534398</v>
      </c>
      <c r="R126" s="10" t="s">
        <v>397</v>
      </c>
      <c r="S126" s="10" t="s">
        <v>401</v>
      </c>
    </row>
    <row r="127" spans="1:19" x14ac:dyDescent="0.2">
      <c r="A127" s="10" t="s">
        <v>402</v>
      </c>
      <c r="B127" s="10" t="s">
        <v>45</v>
      </c>
      <c r="C127" s="10" t="s">
        <v>395</v>
      </c>
      <c r="D127" s="10" t="s">
        <v>21</v>
      </c>
      <c r="E127" s="10">
        <v>42</v>
      </c>
      <c r="F127" s="10" t="s">
        <v>396</v>
      </c>
      <c r="G127" s="10" t="s">
        <v>400</v>
      </c>
      <c r="H127" s="10" t="s">
        <v>95</v>
      </c>
      <c r="I127" s="10" t="s">
        <v>184</v>
      </c>
      <c r="J127" s="10">
        <v>1024</v>
      </c>
      <c r="K127" s="10" t="s">
        <v>97</v>
      </c>
      <c r="L127" s="10">
        <v>21</v>
      </c>
      <c r="M127" s="15">
        <v>0.46312615955473102</v>
      </c>
      <c r="N127" s="15">
        <v>0.85714285714285698</v>
      </c>
      <c r="O127" s="15">
        <v>0.85714285714285698</v>
      </c>
      <c r="P127" s="15">
        <v>0.1736</v>
      </c>
      <c r="Q127" s="16">
        <f t="shared" si="3"/>
        <v>0.68354285714285701</v>
      </c>
      <c r="R127" s="10" t="s">
        <v>397</v>
      </c>
      <c r="S127" s="10" t="s">
        <v>403</v>
      </c>
    </row>
    <row r="128" spans="1:19" x14ac:dyDescent="0.2">
      <c r="A128" s="10" t="s">
        <v>404</v>
      </c>
      <c r="B128" s="10" t="s">
        <v>45</v>
      </c>
      <c r="C128" s="10" t="s">
        <v>395</v>
      </c>
      <c r="D128" s="10" t="s">
        <v>21</v>
      </c>
      <c r="E128" s="10">
        <v>42</v>
      </c>
      <c r="F128" s="10" t="s">
        <v>400</v>
      </c>
      <c r="G128" s="10" t="s">
        <v>396</v>
      </c>
      <c r="H128" s="10" t="s">
        <v>95</v>
      </c>
      <c r="I128" s="10" t="s">
        <v>184</v>
      </c>
      <c r="J128" s="10">
        <v>1024</v>
      </c>
      <c r="K128" s="10" t="s">
        <v>97</v>
      </c>
      <c r="L128" s="10">
        <v>21</v>
      </c>
      <c r="M128" s="15">
        <v>0.68214285714285705</v>
      </c>
      <c r="N128" s="15">
        <v>0.827380952380952</v>
      </c>
      <c r="O128" s="15">
        <v>0.85</v>
      </c>
      <c r="P128" s="15">
        <v>0.1736</v>
      </c>
      <c r="Q128" s="16">
        <f t="shared" si="3"/>
        <v>0.6764</v>
      </c>
      <c r="R128" s="10" t="s">
        <v>397</v>
      </c>
      <c r="S128" s="10" t="s">
        <v>405</v>
      </c>
    </row>
    <row r="129" spans="1:19" x14ac:dyDescent="0.2">
      <c r="A129" s="10" t="s">
        <v>406</v>
      </c>
      <c r="B129" s="10" t="s">
        <v>45</v>
      </c>
      <c r="C129" s="10" t="s">
        <v>407</v>
      </c>
      <c r="D129" s="10" t="s">
        <v>21</v>
      </c>
      <c r="E129" s="10">
        <v>1</v>
      </c>
      <c r="F129" s="10" t="s">
        <v>261</v>
      </c>
      <c r="G129" s="10" t="s">
        <v>396</v>
      </c>
      <c r="H129" s="10" t="s">
        <v>95</v>
      </c>
      <c r="I129" s="10" t="s">
        <v>184</v>
      </c>
      <c r="J129" s="10">
        <v>1024</v>
      </c>
      <c r="K129" s="10" t="s">
        <v>97</v>
      </c>
      <c r="L129" s="10">
        <v>21</v>
      </c>
      <c r="M129" s="15"/>
      <c r="N129" s="15">
        <v>0.73214285714285698</v>
      </c>
      <c r="O129" s="15">
        <v>0.80045351473922899</v>
      </c>
      <c r="P129" s="15">
        <v>0.1736</v>
      </c>
      <c r="Q129" s="16">
        <f t="shared" si="3"/>
        <v>0.62685351473922901</v>
      </c>
      <c r="R129" s="10" t="s">
        <v>408</v>
      </c>
      <c r="S129" s="10" t="s">
        <v>409</v>
      </c>
    </row>
    <row r="130" spans="1:19" x14ac:dyDescent="0.2">
      <c r="A130" s="10" t="s">
        <v>410</v>
      </c>
      <c r="B130" s="10" t="s">
        <v>45</v>
      </c>
      <c r="C130" s="10" t="s">
        <v>407</v>
      </c>
      <c r="D130" s="10" t="s">
        <v>21</v>
      </c>
      <c r="E130" s="10">
        <v>1</v>
      </c>
      <c r="F130" s="10" t="s">
        <v>261</v>
      </c>
      <c r="G130" s="10" t="s">
        <v>400</v>
      </c>
      <c r="H130" s="10" t="s">
        <v>95</v>
      </c>
      <c r="I130" s="10" t="s">
        <v>184</v>
      </c>
      <c r="J130" s="10">
        <v>1024</v>
      </c>
      <c r="K130" s="10" t="s">
        <v>97</v>
      </c>
      <c r="L130" s="10">
        <v>21</v>
      </c>
      <c r="M130" s="15"/>
      <c r="N130" s="15">
        <v>0.64285714285714302</v>
      </c>
      <c r="O130" s="15">
        <v>0.83775510204081605</v>
      </c>
      <c r="P130" s="15">
        <v>0.1736</v>
      </c>
      <c r="Q130" s="16">
        <f t="shared" ref="Q130:Q161" si="4">IF(AND(ISNUMBER(O130),ISNUMBER(P130)),O130-P130,"")</f>
        <v>0.66415510204081607</v>
      </c>
      <c r="R130" s="10" t="s">
        <v>408</v>
      </c>
      <c r="S130" s="10" t="s">
        <v>411</v>
      </c>
    </row>
    <row r="131" spans="1:19" x14ac:dyDescent="0.2">
      <c r="A131" s="10" t="s">
        <v>412</v>
      </c>
      <c r="B131" s="10" t="s">
        <v>45</v>
      </c>
      <c r="C131" s="10" t="s">
        <v>407</v>
      </c>
      <c r="D131" s="10" t="s">
        <v>21</v>
      </c>
      <c r="E131" s="10">
        <v>1</v>
      </c>
      <c r="F131" s="10" t="s">
        <v>396</v>
      </c>
      <c r="G131" s="10" t="s">
        <v>400</v>
      </c>
      <c r="H131" s="10" t="s">
        <v>95</v>
      </c>
      <c r="I131" s="10" t="s">
        <v>184</v>
      </c>
      <c r="J131" s="10">
        <v>1024</v>
      </c>
      <c r="K131" s="10" t="s">
        <v>97</v>
      </c>
      <c r="L131" s="10">
        <v>21</v>
      </c>
      <c r="M131" s="15">
        <v>0.36285975928833097</v>
      </c>
      <c r="N131" s="15">
        <v>0.74404761904761896</v>
      </c>
      <c r="O131" s="15">
        <v>0.82023809523809499</v>
      </c>
      <c r="P131" s="15">
        <v>0.1736</v>
      </c>
      <c r="Q131" s="16">
        <f t="shared" si="4"/>
        <v>0.64663809523809501</v>
      </c>
      <c r="R131" s="10" t="s">
        <v>408</v>
      </c>
      <c r="S131" s="10" t="s">
        <v>413</v>
      </c>
    </row>
    <row r="132" spans="1:19" x14ac:dyDescent="0.2">
      <c r="A132" s="10" t="s">
        <v>414</v>
      </c>
      <c r="B132" s="10" t="s">
        <v>45</v>
      </c>
      <c r="C132" s="10" t="s">
        <v>407</v>
      </c>
      <c r="D132" s="10" t="s">
        <v>21</v>
      </c>
      <c r="E132" s="10">
        <v>1</v>
      </c>
      <c r="F132" s="10" t="s">
        <v>400</v>
      </c>
      <c r="G132" s="10" t="s">
        <v>396</v>
      </c>
      <c r="H132" s="10" t="s">
        <v>95</v>
      </c>
      <c r="I132" s="10" t="s">
        <v>184</v>
      </c>
      <c r="J132" s="10">
        <v>1024</v>
      </c>
      <c r="K132" s="10" t="s">
        <v>97</v>
      </c>
      <c r="L132" s="10">
        <v>21</v>
      </c>
      <c r="M132" s="15">
        <v>0.50674603174603206</v>
      </c>
      <c r="N132" s="15">
        <v>0.77023809523809506</v>
      </c>
      <c r="O132" s="15">
        <v>0.91156462585034004</v>
      </c>
      <c r="P132" s="15">
        <v>0.1736</v>
      </c>
      <c r="Q132" s="16">
        <f t="shared" si="4"/>
        <v>0.73796462585034006</v>
      </c>
      <c r="R132" s="10" t="s">
        <v>408</v>
      </c>
      <c r="S132" s="10" t="s">
        <v>415</v>
      </c>
    </row>
    <row r="133" spans="1:19" x14ac:dyDescent="0.2">
      <c r="A133" s="10" t="s">
        <v>416</v>
      </c>
      <c r="B133" s="10" t="s">
        <v>45</v>
      </c>
      <c r="C133" s="10" t="s">
        <v>417</v>
      </c>
      <c r="D133" s="10" t="s">
        <v>21</v>
      </c>
      <c r="E133" s="10">
        <v>2</v>
      </c>
      <c r="F133" s="10" t="s">
        <v>261</v>
      </c>
      <c r="G133" s="10" t="s">
        <v>396</v>
      </c>
      <c r="H133" s="10" t="s">
        <v>95</v>
      </c>
      <c r="I133" s="10" t="s">
        <v>184</v>
      </c>
      <c r="J133" s="10">
        <v>1024</v>
      </c>
      <c r="K133" s="10" t="s">
        <v>97</v>
      </c>
      <c r="L133" s="10">
        <v>21</v>
      </c>
      <c r="M133" s="15"/>
      <c r="N133" s="15">
        <v>0.65119047619047599</v>
      </c>
      <c r="O133" s="15">
        <v>0.79931972789115702</v>
      </c>
      <c r="P133" s="15">
        <v>0.1736</v>
      </c>
      <c r="Q133" s="16">
        <f t="shared" si="4"/>
        <v>0.62571972789115704</v>
      </c>
      <c r="R133" s="10" t="s">
        <v>408</v>
      </c>
      <c r="S133" s="10" t="s">
        <v>418</v>
      </c>
    </row>
    <row r="134" spans="1:19" x14ac:dyDescent="0.2">
      <c r="A134" s="10" t="s">
        <v>419</v>
      </c>
      <c r="B134" s="10" t="s">
        <v>45</v>
      </c>
      <c r="C134" s="10" t="s">
        <v>417</v>
      </c>
      <c r="D134" s="10" t="s">
        <v>21</v>
      </c>
      <c r="E134" s="10">
        <v>2</v>
      </c>
      <c r="F134" s="10" t="s">
        <v>261</v>
      </c>
      <c r="G134" s="10" t="s">
        <v>400</v>
      </c>
      <c r="H134" s="10" t="s">
        <v>95</v>
      </c>
      <c r="I134" s="10" t="s">
        <v>184</v>
      </c>
      <c r="J134" s="10">
        <v>1024</v>
      </c>
      <c r="K134" s="10" t="s">
        <v>97</v>
      </c>
      <c r="L134" s="10">
        <v>21</v>
      </c>
      <c r="M134" s="15"/>
      <c r="N134" s="15">
        <v>0.73809523809523803</v>
      </c>
      <c r="O134" s="15">
        <v>0.79931972789115702</v>
      </c>
      <c r="P134" s="15">
        <v>0.1736</v>
      </c>
      <c r="Q134" s="16">
        <f t="shared" si="4"/>
        <v>0.62571972789115704</v>
      </c>
      <c r="R134" s="10" t="s">
        <v>408</v>
      </c>
      <c r="S134" s="10" t="s">
        <v>420</v>
      </c>
    </row>
    <row r="135" spans="1:19" x14ac:dyDescent="0.2">
      <c r="A135" s="10" t="s">
        <v>421</v>
      </c>
      <c r="B135" s="10" t="s">
        <v>45</v>
      </c>
      <c r="C135" s="10" t="s">
        <v>417</v>
      </c>
      <c r="D135" s="10" t="s">
        <v>21</v>
      </c>
      <c r="E135" s="10">
        <v>2</v>
      </c>
      <c r="F135" s="10" t="s">
        <v>396</v>
      </c>
      <c r="G135" s="10" t="s">
        <v>400</v>
      </c>
      <c r="H135" s="10" t="s">
        <v>95</v>
      </c>
      <c r="I135" s="10" t="s">
        <v>184</v>
      </c>
      <c r="J135" s="10">
        <v>1024</v>
      </c>
      <c r="K135" s="10" t="s">
        <v>97</v>
      </c>
      <c r="L135" s="10">
        <v>21</v>
      </c>
      <c r="M135" s="15">
        <v>0.39478021978021999</v>
      </c>
      <c r="N135" s="15">
        <v>0.80357142857142905</v>
      </c>
      <c r="O135" s="15">
        <v>0.84070294784580502</v>
      </c>
      <c r="P135" s="15">
        <v>0.1736</v>
      </c>
      <c r="Q135" s="16">
        <f t="shared" si="4"/>
        <v>0.66710294784580504</v>
      </c>
      <c r="R135" s="10" t="s">
        <v>408</v>
      </c>
      <c r="S135" s="10" t="s">
        <v>422</v>
      </c>
    </row>
    <row r="136" spans="1:19" x14ac:dyDescent="0.2">
      <c r="A136" s="10" t="s">
        <v>423</v>
      </c>
      <c r="B136" s="10" t="s">
        <v>45</v>
      </c>
      <c r="C136" s="10" t="s">
        <v>417</v>
      </c>
      <c r="D136" s="10" t="s">
        <v>21</v>
      </c>
      <c r="E136" s="10">
        <v>2</v>
      </c>
      <c r="F136" s="10" t="s">
        <v>400</v>
      </c>
      <c r="G136" s="10" t="s">
        <v>396</v>
      </c>
      <c r="H136" s="10" t="s">
        <v>95</v>
      </c>
      <c r="I136" s="10" t="s">
        <v>184</v>
      </c>
      <c r="J136" s="10">
        <v>1024</v>
      </c>
      <c r="K136" s="10" t="s">
        <v>97</v>
      </c>
      <c r="L136" s="10">
        <v>21</v>
      </c>
      <c r="M136" s="15">
        <v>0.453656462585034</v>
      </c>
      <c r="N136" s="15">
        <v>0.83571428571428596</v>
      </c>
      <c r="O136" s="15">
        <v>0.85873015873015901</v>
      </c>
      <c r="P136" s="15">
        <v>0.1736</v>
      </c>
      <c r="Q136" s="16">
        <f t="shared" si="4"/>
        <v>0.68513015873015903</v>
      </c>
      <c r="R136" s="10" t="s">
        <v>408</v>
      </c>
      <c r="S136" s="10" t="s">
        <v>424</v>
      </c>
    </row>
    <row r="137" spans="1:19" x14ac:dyDescent="0.2">
      <c r="A137" s="10" t="s">
        <v>425</v>
      </c>
      <c r="B137" s="10" t="s">
        <v>45</v>
      </c>
      <c r="C137" s="10" t="s">
        <v>426</v>
      </c>
      <c r="D137" s="10" t="s">
        <v>21</v>
      </c>
      <c r="E137" s="10">
        <v>42</v>
      </c>
      <c r="F137" s="10" t="s">
        <v>261</v>
      </c>
      <c r="G137" s="10" t="s">
        <v>396</v>
      </c>
      <c r="H137" s="10" t="s">
        <v>95</v>
      </c>
      <c r="I137" s="10" t="s">
        <v>184</v>
      </c>
      <c r="J137" s="10">
        <v>1024</v>
      </c>
      <c r="K137" s="10" t="s">
        <v>97</v>
      </c>
      <c r="L137" s="10">
        <v>21</v>
      </c>
      <c r="M137" s="15"/>
      <c r="N137" s="15">
        <v>0.65530303030303005</v>
      </c>
      <c r="O137" s="15">
        <v>0.805744520030234</v>
      </c>
      <c r="P137" s="15">
        <v>0.1736</v>
      </c>
      <c r="Q137" s="16">
        <f t="shared" si="4"/>
        <v>0.63214452003023403</v>
      </c>
      <c r="R137" s="10" t="s">
        <v>408</v>
      </c>
      <c r="S137" s="10" t="s">
        <v>427</v>
      </c>
    </row>
    <row r="138" spans="1:19" x14ac:dyDescent="0.2">
      <c r="A138" s="10" t="s">
        <v>428</v>
      </c>
      <c r="B138" s="10" t="s">
        <v>45</v>
      </c>
      <c r="C138" s="10" t="s">
        <v>426</v>
      </c>
      <c r="D138" s="10" t="s">
        <v>21</v>
      </c>
      <c r="E138" s="10">
        <v>42</v>
      </c>
      <c r="F138" s="10" t="s">
        <v>261</v>
      </c>
      <c r="G138" s="10" t="s">
        <v>400</v>
      </c>
      <c r="H138" s="10" t="s">
        <v>95</v>
      </c>
      <c r="I138" s="10" t="s">
        <v>184</v>
      </c>
      <c r="J138" s="10">
        <v>1024</v>
      </c>
      <c r="K138" s="10" t="s">
        <v>97</v>
      </c>
      <c r="L138" s="10">
        <v>21</v>
      </c>
      <c r="M138" s="15"/>
      <c r="N138" s="15">
        <v>0.78095238095238095</v>
      </c>
      <c r="O138" s="15">
        <v>0.86309523809523803</v>
      </c>
      <c r="P138" s="15">
        <v>0.1736</v>
      </c>
      <c r="Q138" s="16">
        <f t="shared" si="4"/>
        <v>0.68949523809523805</v>
      </c>
      <c r="R138" s="10" t="s">
        <v>408</v>
      </c>
      <c r="S138" s="10" t="s">
        <v>429</v>
      </c>
    </row>
    <row r="139" spans="1:19" x14ac:dyDescent="0.2">
      <c r="A139" s="10" t="s">
        <v>430</v>
      </c>
      <c r="B139" s="10" t="s">
        <v>45</v>
      </c>
      <c r="C139" s="10" t="s">
        <v>426</v>
      </c>
      <c r="D139" s="10" t="s">
        <v>21</v>
      </c>
      <c r="E139" s="10">
        <v>42</v>
      </c>
      <c r="F139" s="10" t="s">
        <v>396</v>
      </c>
      <c r="G139" s="10" t="s">
        <v>400</v>
      </c>
      <c r="H139" s="10" t="s">
        <v>95</v>
      </c>
      <c r="I139" s="10" t="s">
        <v>184</v>
      </c>
      <c r="J139" s="10">
        <v>1024</v>
      </c>
      <c r="K139" s="10" t="s">
        <v>97</v>
      </c>
      <c r="L139" s="10">
        <v>21</v>
      </c>
      <c r="M139" s="15">
        <v>0.39546049188906301</v>
      </c>
      <c r="N139" s="15">
        <v>0.875</v>
      </c>
      <c r="O139" s="15">
        <v>0.89880952380952395</v>
      </c>
      <c r="P139" s="15">
        <v>0.1736</v>
      </c>
      <c r="Q139" s="16">
        <f t="shared" si="4"/>
        <v>0.72520952380952397</v>
      </c>
      <c r="R139" s="10" t="s">
        <v>408</v>
      </c>
      <c r="S139" s="10" t="s">
        <v>431</v>
      </c>
    </row>
    <row r="140" spans="1:19" x14ac:dyDescent="0.2">
      <c r="A140" s="10" t="s">
        <v>432</v>
      </c>
      <c r="B140" s="10" t="s">
        <v>45</v>
      </c>
      <c r="C140" s="10" t="s">
        <v>426</v>
      </c>
      <c r="D140" s="10" t="s">
        <v>21</v>
      </c>
      <c r="E140" s="10">
        <v>42</v>
      </c>
      <c r="F140" s="10" t="s">
        <v>400</v>
      </c>
      <c r="G140" s="10" t="s">
        <v>396</v>
      </c>
      <c r="H140" s="10" t="s">
        <v>95</v>
      </c>
      <c r="I140" s="10" t="s">
        <v>184</v>
      </c>
      <c r="J140" s="10">
        <v>1024</v>
      </c>
      <c r="K140" s="10" t="s">
        <v>97</v>
      </c>
      <c r="L140" s="10">
        <v>21</v>
      </c>
      <c r="M140" s="15">
        <v>0.49166666666666697</v>
      </c>
      <c r="N140" s="15">
        <v>0.89285714285714302</v>
      </c>
      <c r="O140" s="15">
        <v>0.93650793650793696</v>
      </c>
      <c r="P140" s="15">
        <v>0.1736</v>
      </c>
      <c r="Q140" s="16">
        <f t="shared" si="4"/>
        <v>0.76290793650793698</v>
      </c>
      <c r="R140" s="10" t="s">
        <v>408</v>
      </c>
      <c r="S140" s="10" t="s">
        <v>433</v>
      </c>
    </row>
    <row r="141" spans="1:19" x14ac:dyDescent="0.2">
      <c r="A141" s="10" t="s">
        <v>434</v>
      </c>
      <c r="B141" s="10" t="s">
        <v>435</v>
      </c>
      <c r="C141" s="10" t="s">
        <v>436</v>
      </c>
      <c r="D141" s="17" t="s">
        <v>11</v>
      </c>
      <c r="E141" s="10">
        <v>42</v>
      </c>
      <c r="F141" s="10" t="s">
        <v>93</v>
      </c>
      <c r="G141" s="10" t="s">
        <v>94</v>
      </c>
      <c r="H141" s="10" t="s">
        <v>95</v>
      </c>
      <c r="I141" s="10" t="s">
        <v>96</v>
      </c>
      <c r="J141" s="10">
        <v>256</v>
      </c>
      <c r="K141" s="10" t="s">
        <v>97</v>
      </c>
      <c r="L141" s="10">
        <v>2</v>
      </c>
      <c r="M141" s="15">
        <v>0.61111111111111105</v>
      </c>
      <c r="N141" s="15">
        <v>0.75</v>
      </c>
      <c r="O141" s="15">
        <v>0.75</v>
      </c>
      <c r="P141" s="15">
        <v>0.75</v>
      </c>
      <c r="Q141" s="16">
        <f t="shared" si="4"/>
        <v>0</v>
      </c>
      <c r="R141" s="10" t="s">
        <v>437</v>
      </c>
      <c r="S141" s="10" t="s">
        <v>438</v>
      </c>
    </row>
    <row r="142" spans="1:19" x14ac:dyDescent="0.2">
      <c r="A142" s="10" t="s">
        <v>439</v>
      </c>
      <c r="B142" s="10" t="s">
        <v>435</v>
      </c>
      <c r="C142" s="10" t="s">
        <v>440</v>
      </c>
      <c r="D142" s="17" t="s">
        <v>11</v>
      </c>
      <c r="E142" s="10">
        <v>42</v>
      </c>
      <c r="F142" s="10" t="s">
        <v>93</v>
      </c>
      <c r="G142" s="10" t="s">
        <v>94</v>
      </c>
      <c r="H142" s="10" t="s">
        <v>95</v>
      </c>
      <c r="I142" s="10" t="s">
        <v>96</v>
      </c>
      <c r="J142" s="10">
        <v>256</v>
      </c>
      <c r="K142" s="10" t="s">
        <v>97</v>
      </c>
      <c r="L142" s="10">
        <v>2</v>
      </c>
      <c r="M142" s="15">
        <v>0.44444444444444398</v>
      </c>
      <c r="N142" s="15">
        <v>0.75</v>
      </c>
      <c r="O142" s="15">
        <v>0.75</v>
      </c>
      <c r="P142" s="15">
        <v>0.75</v>
      </c>
      <c r="Q142" s="16">
        <f t="shared" si="4"/>
        <v>0</v>
      </c>
      <c r="R142" s="10" t="s">
        <v>441</v>
      </c>
      <c r="S142" s="10" t="s">
        <v>442</v>
      </c>
    </row>
    <row r="143" spans="1:19" x14ac:dyDescent="0.2">
      <c r="A143" s="10" t="s">
        <v>443</v>
      </c>
      <c r="B143" s="10" t="s">
        <v>435</v>
      </c>
      <c r="C143" s="10" t="s">
        <v>444</v>
      </c>
      <c r="D143" s="17" t="s">
        <v>11</v>
      </c>
      <c r="E143" s="10">
        <v>42</v>
      </c>
      <c r="F143" s="10" t="s">
        <v>93</v>
      </c>
      <c r="G143" s="10" t="s">
        <v>94</v>
      </c>
      <c r="H143" s="10" t="s">
        <v>95</v>
      </c>
      <c r="I143" s="10" t="s">
        <v>96</v>
      </c>
      <c r="J143" s="10">
        <v>256</v>
      </c>
      <c r="K143" s="10" t="s">
        <v>97</v>
      </c>
      <c r="L143" s="10">
        <v>2</v>
      </c>
      <c r="M143" s="15"/>
      <c r="N143" s="15"/>
      <c r="O143" s="15">
        <v>0.75</v>
      </c>
      <c r="P143" s="15">
        <v>0.75</v>
      </c>
      <c r="Q143" s="16">
        <f t="shared" si="4"/>
        <v>0</v>
      </c>
      <c r="R143" s="10" t="s">
        <v>445</v>
      </c>
      <c r="S143" s="10" t="s">
        <v>446</v>
      </c>
    </row>
    <row r="144" spans="1:19" x14ac:dyDescent="0.2">
      <c r="A144" s="10" t="s">
        <v>447</v>
      </c>
      <c r="B144" s="10" t="s">
        <v>435</v>
      </c>
      <c r="C144" s="10" t="s">
        <v>436</v>
      </c>
      <c r="D144" s="17" t="s">
        <v>11</v>
      </c>
      <c r="E144" s="10">
        <v>42</v>
      </c>
      <c r="F144" s="10" t="s">
        <v>93</v>
      </c>
      <c r="G144" s="10" t="s">
        <v>101</v>
      </c>
      <c r="H144" s="10" t="s">
        <v>95</v>
      </c>
      <c r="I144" s="10" t="s">
        <v>96</v>
      </c>
      <c r="J144" s="10">
        <v>256</v>
      </c>
      <c r="K144" s="10" t="s">
        <v>97</v>
      </c>
      <c r="L144" s="10">
        <v>21</v>
      </c>
      <c r="M144" s="15">
        <v>0.61111111111111105</v>
      </c>
      <c r="N144" s="15">
        <v>0.23290380254665999</v>
      </c>
      <c r="O144" s="15">
        <v>0.17596946213155901</v>
      </c>
      <c r="P144" s="15">
        <v>0.1736</v>
      </c>
      <c r="Q144" s="16">
        <f t="shared" si="4"/>
        <v>2.3694621315590025E-3</v>
      </c>
      <c r="R144" s="10" t="s">
        <v>437</v>
      </c>
      <c r="S144" s="10" t="s">
        <v>448</v>
      </c>
    </row>
    <row r="145" spans="1:19" x14ac:dyDescent="0.2">
      <c r="A145" s="10" t="s">
        <v>449</v>
      </c>
      <c r="B145" s="10" t="s">
        <v>435</v>
      </c>
      <c r="C145" s="10" t="s">
        <v>440</v>
      </c>
      <c r="D145" s="17" t="s">
        <v>11</v>
      </c>
      <c r="E145" s="10">
        <v>42</v>
      </c>
      <c r="F145" s="10" t="s">
        <v>93</v>
      </c>
      <c r="G145" s="10" t="s">
        <v>101</v>
      </c>
      <c r="H145" s="10" t="s">
        <v>95</v>
      </c>
      <c r="I145" s="10" t="s">
        <v>96</v>
      </c>
      <c r="J145" s="10">
        <v>256</v>
      </c>
      <c r="K145" s="10" t="s">
        <v>97</v>
      </c>
      <c r="L145" s="10">
        <v>21</v>
      </c>
      <c r="M145" s="15">
        <v>0.44444444444444398</v>
      </c>
      <c r="N145" s="15">
        <v>0.258806471306471</v>
      </c>
      <c r="O145" s="15">
        <v>0.22753366303786501</v>
      </c>
      <c r="P145" s="15">
        <v>0.1736</v>
      </c>
      <c r="Q145" s="16">
        <f t="shared" si="4"/>
        <v>5.3933663037865009E-2</v>
      </c>
      <c r="R145" s="10" t="s">
        <v>441</v>
      </c>
      <c r="S145" s="10" t="s">
        <v>450</v>
      </c>
    </row>
    <row r="146" spans="1:19" x14ac:dyDescent="0.2">
      <c r="A146" s="10" t="s">
        <v>451</v>
      </c>
      <c r="B146" s="10" t="s">
        <v>435</v>
      </c>
      <c r="C146" s="10" t="s">
        <v>444</v>
      </c>
      <c r="D146" s="17" t="s">
        <v>11</v>
      </c>
      <c r="E146" s="10">
        <v>42</v>
      </c>
      <c r="F146" s="10" t="s">
        <v>93</v>
      </c>
      <c r="G146" s="10" t="s">
        <v>101</v>
      </c>
      <c r="H146" s="10" t="s">
        <v>95</v>
      </c>
      <c r="I146" s="10" t="s">
        <v>96</v>
      </c>
      <c r="J146" s="10">
        <v>256</v>
      </c>
      <c r="K146" s="10" t="s">
        <v>97</v>
      </c>
      <c r="L146" s="10">
        <v>21</v>
      </c>
      <c r="M146" s="15"/>
      <c r="N146" s="15"/>
      <c r="O146" s="15">
        <v>0.173588509750606</v>
      </c>
      <c r="P146" s="15">
        <v>0.1736</v>
      </c>
      <c r="Q146" s="16">
        <f t="shared" si="4"/>
        <v>-1.1490249394008334E-5</v>
      </c>
      <c r="R146" s="10" t="s">
        <v>445</v>
      </c>
      <c r="S146" s="10" t="s">
        <v>452</v>
      </c>
    </row>
    <row r="147" spans="1:19" x14ac:dyDescent="0.2">
      <c r="A147" s="10" t="s">
        <v>453</v>
      </c>
      <c r="B147" s="10" t="s">
        <v>435</v>
      </c>
      <c r="C147" s="10" t="s">
        <v>436</v>
      </c>
      <c r="D147" s="17" t="s">
        <v>11</v>
      </c>
      <c r="E147" s="10">
        <v>42</v>
      </c>
      <c r="F147" s="10" t="s">
        <v>93</v>
      </c>
      <c r="G147" s="10" t="s">
        <v>104</v>
      </c>
      <c r="H147" s="10" t="s">
        <v>95</v>
      </c>
      <c r="I147" s="10" t="s">
        <v>96</v>
      </c>
      <c r="J147" s="10">
        <v>256</v>
      </c>
      <c r="K147" s="10" t="s">
        <v>97</v>
      </c>
      <c r="L147" s="10">
        <v>3</v>
      </c>
      <c r="M147" s="15">
        <v>0.61111111111111105</v>
      </c>
      <c r="N147" s="15">
        <v>0.52083333333333304</v>
      </c>
      <c r="O147" s="15">
        <v>0.61111111111111105</v>
      </c>
      <c r="P147" s="15">
        <v>0.61109999999999998</v>
      </c>
      <c r="Q147" s="16">
        <f t="shared" si="4"/>
        <v>1.111111111107288E-5</v>
      </c>
      <c r="R147" s="10" t="s">
        <v>437</v>
      </c>
      <c r="S147" s="10" t="s">
        <v>454</v>
      </c>
    </row>
    <row r="148" spans="1:19" x14ac:dyDescent="0.2">
      <c r="A148" s="10" t="s">
        <v>455</v>
      </c>
      <c r="B148" s="10" t="s">
        <v>435</v>
      </c>
      <c r="C148" s="10" t="s">
        <v>440</v>
      </c>
      <c r="D148" s="17" t="s">
        <v>11</v>
      </c>
      <c r="E148" s="10">
        <v>42</v>
      </c>
      <c r="F148" s="10" t="s">
        <v>93</v>
      </c>
      <c r="G148" s="10" t="s">
        <v>104</v>
      </c>
      <c r="H148" s="10" t="s">
        <v>95</v>
      </c>
      <c r="I148" s="10" t="s">
        <v>96</v>
      </c>
      <c r="J148" s="10">
        <v>256</v>
      </c>
      <c r="K148" s="10" t="s">
        <v>97</v>
      </c>
      <c r="L148" s="10">
        <v>3</v>
      </c>
      <c r="M148" s="15">
        <v>0.44444444444444398</v>
      </c>
      <c r="N148" s="15">
        <v>0.47916666666666702</v>
      </c>
      <c r="O148" s="15">
        <v>0.44444444444444398</v>
      </c>
      <c r="P148" s="15">
        <v>0.61109999999999998</v>
      </c>
      <c r="Q148" s="16">
        <f t="shared" si="4"/>
        <v>-0.166655555555556</v>
      </c>
      <c r="R148" s="10" t="s">
        <v>441</v>
      </c>
      <c r="S148" s="10" t="s">
        <v>456</v>
      </c>
    </row>
    <row r="149" spans="1:19" x14ac:dyDescent="0.2">
      <c r="A149" s="10" t="s">
        <v>457</v>
      </c>
      <c r="B149" s="10" t="s">
        <v>435</v>
      </c>
      <c r="C149" s="10" t="s">
        <v>444</v>
      </c>
      <c r="D149" s="17" t="s">
        <v>11</v>
      </c>
      <c r="E149" s="10">
        <v>42</v>
      </c>
      <c r="F149" s="10" t="s">
        <v>93</v>
      </c>
      <c r="G149" s="10" t="s">
        <v>104</v>
      </c>
      <c r="H149" s="10" t="s">
        <v>95</v>
      </c>
      <c r="I149" s="10" t="s">
        <v>96</v>
      </c>
      <c r="J149" s="10">
        <v>256</v>
      </c>
      <c r="K149" s="10" t="s">
        <v>97</v>
      </c>
      <c r="L149" s="10">
        <v>3</v>
      </c>
      <c r="M149" s="15"/>
      <c r="N149" s="15"/>
      <c r="O149" s="15">
        <v>0.61111111111111105</v>
      </c>
      <c r="P149" s="15">
        <v>0.61109999999999998</v>
      </c>
      <c r="Q149" s="16">
        <f t="shared" si="4"/>
        <v>1.111111111107288E-5</v>
      </c>
      <c r="R149" s="10" t="s">
        <v>445</v>
      </c>
      <c r="S149" s="10" t="s">
        <v>458</v>
      </c>
    </row>
    <row r="150" spans="1:19" x14ac:dyDescent="0.2">
      <c r="A150" s="10" t="s">
        <v>459</v>
      </c>
      <c r="B150" s="10" t="s">
        <v>435</v>
      </c>
      <c r="C150" s="10" t="s">
        <v>436</v>
      </c>
      <c r="D150" s="17" t="s">
        <v>11</v>
      </c>
      <c r="E150" s="10">
        <v>42</v>
      </c>
      <c r="F150" s="10" t="s">
        <v>94</v>
      </c>
      <c r="G150" s="10" t="s">
        <v>93</v>
      </c>
      <c r="H150" s="10" t="s">
        <v>95</v>
      </c>
      <c r="I150" s="10" t="s">
        <v>96</v>
      </c>
      <c r="J150" s="10">
        <v>256</v>
      </c>
      <c r="K150" s="10" t="s">
        <v>97</v>
      </c>
      <c r="L150" s="10">
        <v>6</v>
      </c>
      <c r="M150" s="15">
        <v>0.75</v>
      </c>
      <c r="N150" s="15">
        <v>0.61111111111111105</v>
      </c>
      <c r="O150" s="15">
        <v>0.40833333333333299</v>
      </c>
      <c r="P150" s="15">
        <v>0.4083</v>
      </c>
      <c r="Q150" s="16">
        <f t="shared" si="4"/>
        <v>3.3333333332996595E-5</v>
      </c>
      <c r="R150" s="10" t="s">
        <v>437</v>
      </c>
      <c r="S150" s="10" t="s">
        <v>460</v>
      </c>
    </row>
    <row r="151" spans="1:19" x14ac:dyDescent="0.2">
      <c r="A151" s="10" t="s">
        <v>461</v>
      </c>
      <c r="B151" s="10" t="s">
        <v>435</v>
      </c>
      <c r="C151" s="10" t="s">
        <v>440</v>
      </c>
      <c r="D151" s="17" t="s">
        <v>11</v>
      </c>
      <c r="E151" s="10">
        <v>42</v>
      </c>
      <c r="F151" s="10" t="s">
        <v>94</v>
      </c>
      <c r="G151" s="10" t="s">
        <v>93</v>
      </c>
      <c r="H151" s="10" t="s">
        <v>95</v>
      </c>
      <c r="I151" s="10" t="s">
        <v>96</v>
      </c>
      <c r="J151" s="10">
        <v>256</v>
      </c>
      <c r="K151" s="10" t="s">
        <v>97</v>
      </c>
      <c r="L151" s="10">
        <v>6</v>
      </c>
      <c r="M151" s="15">
        <v>0.75</v>
      </c>
      <c r="N151" s="15">
        <v>0.61111111111111105</v>
      </c>
      <c r="O151" s="15">
        <v>0.40833333333333299</v>
      </c>
      <c r="P151" s="15">
        <v>0.4083</v>
      </c>
      <c r="Q151" s="16">
        <f t="shared" si="4"/>
        <v>3.3333333332996595E-5</v>
      </c>
      <c r="R151" s="10" t="s">
        <v>441</v>
      </c>
      <c r="S151" s="10" t="s">
        <v>462</v>
      </c>
    </row>
    <row r="152" spans="1:19" x14ac:dyDescent="0.2">
      <c r="A152" s="10" t="s">
        <v>463</v>
      </c>
      <c r="B152" s="10" t="s">
        <v>435</v>
      </c>
      <c r="C152" s="10" t="s">
        <v>444</v>
      </c>
      <c r="D152" s="17" t="s">
        <v>11</v>
      </c>
      <c r="E152" s="10">
        <v>42</v>
      </c>
      <c r="F152" s="10" t="s">
        <v>94</v>
      </c>
      <c r="G152" s="10" t="s">
        <v>93</v>
      </c>
      <c r="H152" s="10" t="s">
        <v>95</v>
      </c>
      <c r="I152" s="10" t="s">
        <v>96</v>
      </c>
      <c r="J152" s="10">
        <v>256</v>
      </c>
      <c r="K152" s="10" t="s">
        <v>97</v>
      </c>
      <c r="L152" s="10">
        <v>6</v>
      </c>
      <c r="M152" s="15"/>
      <c r="N152" s="15"/>
      <c r="O152" s="15">
        <v>0.40833333333333299</v>
      </c>
      <c r="P152" s="15">
        <v>0.4083</v>
      </c>
      <c r="Q152" s="16">
        <f t="shared" si="4"/>
        <v>3.3333333332996595E-5</v>
      </c>
      <c r="R152" s="10" t="s">
        <v>445</v>
      </c>
      <c r="S152" s="10" t="s">
        <v>464</v>
      </c>
    </row>
    <row r="153" spans="1:19" x14ac:dyDescent="0.2">
      <c r="A153" s="10" t="s">
        <v>465</v>
      </c>
      <c r="B153" s="10" t="s">
        <v>435</v>
      </c>
      <c r="C153" s="10" t="s">
        <v>436</v>
      </c>
      <c r="D153" s="17" t="s">
        <v>11</v>
      </c>
      <c r="E153" s="10">
        <v>42</v>
      </c>
      <c r="F153" s="10" t="s">
        <v>94</v>
      </c>
      <c r="G153" s="10" t="s">
        <v>101</v>
      </c>
      <c r="H153" s="10" t="s">
        <v>95</v>
      </c>
      <c r="I153" s="10" t="s">
        <v>96</v>
      </c>
      <c r="J153" s="10">
        <v>256</v>
      </c>
      <c r="K153" s="10" t="s">
        <v>97</v>
      </c>
      <c r="L153" s="10">
        <v>21</v>
      </c>
      <c r="M153" s="15">
        <v>0.75</v>
      </c>
      <c r="N153" s="15">
        <v>0.23225445189730901</v>
      </c>
      <c r="O153" s="15">
        <v>0.18354693756617699</v>
      </c>
      <c r="P153" s="15">
        <v>0.1736</v>
      </c>
      <c r="Q153" s="16">
        <f t="shared" si="4"/>
        <v>9.9469375661769832E-3</v>
      </c>
      <c r="R153" s="10" t="s">
        <v>437</v>
      </c>
      <c r="S153" s="10" t="s">
        <v>466</v>
      </c>
    </row>
    <row r="154" spans="1:19" x14ac:dyDescent="0.2">
      <c r="A154" s="10" t="s">
        <v>467</v>
      </c>
      <c r="B154" s="10" t="s">
        <v>435</v>
      </c>
      <c r="C154" s="10" t="s">
        <v>440</v>
      </c>
      <c r="D154" s="17" t="s">
        <v>11</v>
      </c>
      <c r="E154" s="10">
        <v>42</v>
      </c>
      <c r="F154" s="10" t="s">
        <v>94</v>
      </c>
      <c r="G154" s="10" t="s">
        <v>101</v>
      </c>
      <c r="H154" s="10" t="s">
        <v>95</v>
      </c>
      <c r="I154" s="10" t="s">
        <v>96</v>
      </c>
      <c r="J154" s="10">
        <v>256</v>
      </c>
      <c r="K154" s="10" t="s">
        <v>97</v>
      </c>
      <c r="L154" s="10">
        <v>21</v>
      </c>
      <c r="M154" s="15">
        <v>0.75</v>
      </c>
      <c r="N154" s="15">
        <v>0.23146080110365799</v>
      </c>
      <c r="O154" s="15">
        <v>0.17549705094486201</v>
      </c>
      <c r="P154" s="15">
        <v>0.1736</v>
      </c>
      <c r="Q154" s="16">
        <f t="shared" si="4"/>
        <v>1.8970509448620054E-3</v>
      </c>
      <c r="R154" s="10" t="s">
        <v>441</v>
      </c>
      <c r="S154" s="10" t="s">
        <v>468</v>
      </c>
    </row>
    <row r="155" spans="1:19" x14ac:dyDescent="0.2">
      <c r="A155" s="10" t="s">
        <v>469</v>
      </c>
      <c r="B155" s="10" t="s">
        <v>435</v>
      </c>
      <c r="C155" s="10" t="s">
        <v>444</v>
      </c>
      <c r="D155" s="17" t="s">
        <v>11</v>
      </c>
      <c r="E155" s="10">
        <v>42</v>
      </c>
      <c r="F155" s="10" t="s">
        <v>94</v>
      </c>
      <c r="G155" s="10" t="s">
        <v>101</v>
      </c>
      <c r="H155" s="10" t="s">
        <v>95</v>
      </c>
      <c r="I155" s="10" t="s">
        <v>96</v>
      </c>
      <c r="J155" s="10">
        <v>256</v>
      </c>
      <c r="K155" s="10" t="s">
        <v>97</v>
      </c>
      <c r="L155" s="10">
        <v>21</v>
      </c>
      <c r="M155" s="15"/>
      <c r="N155" s="15"/>
      <c r="O155" s="15">
        <v>0.173588509750606</v>
      </c>
      <c r="P155" s="15">
        <v>0.1736</v>
      </c>
      <c r="Q155" s="16">
        <f t="shared" si="4"/>
        <v>-1.1490249394008334E-5</v>
      </c>
      <c r="R155" s="10" t="s">
        <v>445</v>
      </c>
      <c r="S155" s="10" t="s">
        <v>470</v>
      </c>
    </row>
    <row r="156" spans="1:19" x14ac:dyDescent="0.2">
      <c r="A156" s="10" t="s">
        <v>471</v>
      </c>
      <c r="B156" s="10" t="s">
        <v>435</v>
      </c>
      <c r="C156" s="10" t="s">
        <v>436</v>
      </c>
      <c r="D156" s="17" t="s">
        <v>11</v>
      </c>
      <c r="E156" s="10">
        <v>42</v>
      </c>
      <c r="F156" s="10" t="s">
        <v>94</v>
      </c>
      <c r="G156" s="10" t="s">
        <v>104</v>
      </c>
      <c r="H156" s="10" t="s">
        <v>95</v>
      </c>
      <c r="I156" s="10" t="s">
        <v>96</v>
      </c>
      <c r="J156" s="10">
        <v>256</v>
      </c>
      <c r="K156" s="10" t="s">
        <v>97</v>
      </c>
      <c r="L156" s="10">
        <v>3</v>
      </c>
      <c r="M156" s="15">
        <v>0.75</v>
      </c>
      <c r="N156" s="15">
        <v>0.456666666666667</v>
      </c>
      <c r="O156" s="15">
        <v>0.75</v>
      </c>
      <c r="P156" s="15">
        <v>0.61109999999999998</v>
      </c>
      <c r="Q156" s="16">
        <f t="shared" si="4"/>
        <v>0.13890000000000002</v>
      </c>
      <c r="R156" s="10" t="s">
        <v>437</v>
      </c>
      <c r="S156" s="10" t="s">
        <v>472</v>
      </c>
    </row>
    <row r="157" spans="1:19" x14ac:dyDescent="0.2">
      <c r="A157" s="10" t="s">
        <v>473</v>
      </c>
      <c r="B157" s="10" t="s">
        <v>435</v>
      </c>
      <c r="C157" s="10" t="s">
        <v>440</v>
      </c>
      <c r="D157" s="17" t="s">
        <v>11</v>
      </c>
      <c r="E157" s="10">
        <v>42</v>
      </c>
      <c r="F157" s="10" t="s">
        <v>94</v>
      </c>
      <c r="G157" s="10" t="s">
        <v>104</v>
      </c>
      <c r="H157" s="10" t="s">
        <v>95</v>
      </c>
      <c r="I157" s="10" t="s">
        <v>96</v>
      </c>
      <c r="J157" s="10">
        <v>256</v>
      </c>
      <c r="K157" s="10" t="s">
        <v>97</v>
      </c>
      <c r="L157" s="10">
        <v>3</v>
      </c>
      <c r="M157" s="15">
        <v>0.75</v>
      </c>
      <c r="N157" s="15">
        <v>0.52083333333333304</v>
      </c>
      <c r="O157" s="15">
        <v>0.61111111111111105</v>
      </c>
      <c r="P157" s="15">
        <v>0.61109999999999998</v>
      </c>
      <c r="Q157" s="16">
        <f t="shared" si="4"/>
        <v>1.111111111107288E-5</v>
      </c>
      <c r="R157" s="10" t="s">
        <v>441</v>
      </c>
      <c r="S157" s="10" t="s">
        <v>474</v>
      </c>
    </row>
    <row r="158" spans="1:19" x14ac:dyDescent="0.2">
      <c r="A158" s="10" t="s">
        <v>475</v>
      </c>
      <c r="B158" s="10" t="s">
        <v>435</v>
      </c>
      <c r="C158" s="10" t="s">
        <v>444</v>
      </c>
      <c r="D158" s="17" t="s">
        <v>11</v>
      </c>
      <c r="E158" s="10">
        <v>42</v>
      </c>
      <c r="F158" s="10" t="s">
        <v>94</v>
      </c>
      <c r="G158" s="10" t="s">
        <v>104</v>
      </c>
      <c r="H158" s="10" t="s">
        <v>95</v>
      </c>
      <c r="I158" s="10" t="s">
        <v>96</v>
      </c>
      <c r="J158" s="10">
        <v>256</v>
      </c>
      <c r="K158" s="10" t="s">
        <v>97</v>
      </c>
      <c r="L158" s="10">
        <v>3</v>
      </c>
      <c r="M158" s="15"/>
      <c r="N158" s="15"/>
      <c r="O158" s="15">
        <v>0.61111111111111105</v>
      </c>
      <c r="P158" s="15">
        <v>0.61109999999999998</v>
      </c>
      <c r="Q158" s="16">
        <f t="shared" si="4"/>
        <v>1.111111111107288E-5</v>
      </c>
      <c r="R158" s="10" t="s">
        <v>445</v>
      </c>
      <c r="S158" s="10" t="s">
        <v>476</v>
      </c>
    </row>
    <row r="159" spans="1:19" x14ac:dyDescent="0.2">
      <c r="A159" s="10" t="s">
        <v>477</v>
      </c>
      <c r="B159" s="10" t="s">
        <v>435</v>
      </c>
      <c r="C159" s="10" t="s">
        <v>436</v>
      </c>
      <c r="D159" s="17" t="s">
        <v>11</v>
      </c>
      <c r="E159" s="10">
        <v>42</v>
      </c>
      <c r="F159" s="10" t="s">
        <v>101</v>
      </c>
      <c r="G159" s="10" t="s">
        <v>93</v>
      </c>
      <c r="H159" s="10" t="s">
        <v>95</v>
      </c>
      <c r="I159" s="10" t="s">
        <v>96</v>
      </c>
      <c r="J159" s="10">
        <v>256</v>
      </c>
      <c r="K159" s="10" t="s">
        <v>97</v>
      </c>
      <c r="L159" s="10">
        <v>6</v>
      </c>
      <c r="M159" s="15">
        <v>0.23225445189730901</v>
      </c>
      <c r="N159" s="15">
        <v>0.61111111111111105</v>
      </c>
      <c r="O159" s="15">
        <v>0.40833333333333299</v>
      </c>
      <c r="P159" s="15">
        <v>0.4083</v>
      </c>
      <c r="Q159" s="16">
        <f t="shared" si="4"/>
        <v>3.3333333332996595E-5</v>
      </c>
      <c r="R159" s="10" t="s">
        <v>437</v>
      </c>
      <c r="S159" s="10" t="s">
        <v>478</v>
      </c>
    </row>
    <row r="160" spans="1:19" x14ac:dyDescent="0.2">
      <c r="A160" s="10" t="s">
        <v>479</v>
      </c>
      <c r="B160" s="10" t="s">
        <v>435</v>
      </c>
      <c r="C160" s="10" t="s">
        <v>440</v>
      </c>
      <c r="D160" s="17" t="s">
        <v>11</v>
      </c>
      <c r="E160" s="10">
        <v>42</v>
      </c>
      <c r="F160" s="10" t="s">
        <v>101</v>
      </c>
      <c r="G160" s="10" t="s">
        <v>93</v>
      </c>
      <c r="H160" s="10" t="s">
        <v>95</v>
      </c>
      <c r="I160" s="10" t="s">
        <v>96</v>
      </c>
      <c r="J160" s="10">
        <v>256</v>
      </c>
      <c r="K160" s="10" t="s">
        <v>97</v>
      </c>
      <c r="L160" s="10">
        <v>6</v>
      </c>
      <c r="M160" s="15">
        <v>0.31887319030176198</v>
      </c>
      <c r="N160" s="15">
        <v>1</v>
      </c>
      <c r="O160" s="15">
        <v>0.63888888888888895</v>
      </c>
      <c r="P160" s="15">
        <v>0.4083</v>
      </c>
      <c r="Q160" s="16">
        <f t="shared" si="4"/>
        <v>0.23058888888888895</v>
      </c>
      <c r="R160" s="10" t="s">
        <v>441</v>
      </c>
      <c r="S160" s="10" t="s">
        <v>480</v>
      </c>
    </row>
    <row r="161" spans="1:19" x14ac:dyDescent="0.2">
      <c r="A161" s="10" t="s">
        <v>481</v>
      </c>
      <c r="B161" s="10" t="s">
        <v>435</v>
      </c>
      <c r="C161" s="10" t="s">
        <v>444</v>
      </c>
      <c r="D161" s="17" t="s">
        <v>11</v>
      </c>
      <c r="E161" s="10">
        <v>42</v>
      </c>
      <c r="F161" s="10" t="s">
        <v>101</v>
      </c>
      <c r="G161" s="10" t="s">
        <v>93</v>
      </c>
      <c r="H161" s="10" t="s">
        <v>95</v>
      </c>
      <c r="I161" s="10" t="s">
        <v>96</v>
      </c>
      <c r="J161" s="10">
        <v>256</v>
      </c>
      <c r="K161" s="10" t="s">
        <v>97</v>
      </c>
      <c r="L161" s="10">
        <v>6</v>
      </c>
      <c r="M161" s="15"/>
      <c r="N161" s="15"/>
      <c r="O161" s="15">
        <v>0.40833333333333299</v>
      </c>
      <c r="P161" s="15">
        <v>0.4083</v>
      </c>
      <c r="Q161" s="16">
        <f t="shared" si="4"/>
        <v>3.3333333332996595E-5</v>
      </c>
      <c r="R161" s="10" t="s">
        <v>445</v>
      </c>
      <c r="S161" s="10" t="s">
        <v>482</v>
      </c>
    </row>
    <row r="162" spans="1:19" x14ac:dyDescent="0.2">
      <c r="A162" s="10" t="s">
        <v>483</v>
      </c>
      <c r="B162" s="10" t="s">
        <v>435</v>
      </c>
      <c r="C162" s="10" t="s">
        <v>436</v>
      </c>
      <c r="D162" s="17" t="s">
        <v>11</v>
      </c>
      <c r="E162" s="10">
        <v>42</v>
      </c>
      <c r="F162" s="10" t="s">
        <v>101</v>
      </c>
      <c r="G162" s="10" t="s">
        <v>94</v>
      </c>
      <c r="H162" s="10" t="s">
        <v>95</v>
      </c>
      <c r="I162" s="10" t="s">
        <v>96</v>
      </c>
      <c r="J162" s="10">
        <v>256</v>
      </c>
      <c r="K162" s="10" t="s">
        <v>97</v>
      </c>
      <c r="L162" s="10">
        <v>2</v>
      </c>
      <c r="M162" s="15">
        <v>0.23225445189730901</v>
      </c>
      <c r="N162" s="15">
        <v>0.75</v>
      </c>
      <c r="O162" s="15">
        <v>0.75</v>
      </c>
      <c r="P162" s="15">
        <v>0.75</v>
      </c>
      <c r="Q162" s="16">
        <f t="shared" ref="Q162:Q193" si="5">IF(AND(ISNUMBER(O162),ISNUMBER(P162)),O162-P162,"")</f>
        <v>0</v>
      </c>
      <c r="R162" s="10" t="s">
        <v>437</v>
      </c>
      <c r="S162" s="10" t="s">
        <v>484</v>
      </c>
    </row>
    <row r="163" spans="1:19" x14ac:dyDescent="0.2">
      <c r="A163" s="10" t="s">
        <v>485</v>
      </c>
      <c r="B163" s="10" t="s">
        <v>435</v>
      </c>
      <c r="C163" s="10" t="s">
        <v>440</v>
      </c>
      <c r="D163" s="17" t="s">
        <v>11</v>
      </c>
      <c r="E163" s="10">
        <v>42</v>
      </c>
      <c r="F163" s="10" t="s">
        <v>101</v>
      </c>
      <c r="G163" s="10" t="s">
        <v>94</v>
      </c>
      <c r="H163" s="10" t="s">
        <v>95</v>
      </c>
      <c r="I163" s="10" t="s">
        <v>96</v>
      </c>
      <c r="J163" s="10">
        <v>256</v>
      </c>
      <c r="K163" s="10" t="s">
        <v>97</v>
      </c>
      <c r="L163" s="10">
        <v>2</v>
      </c>
      <c r="M163" s="15">
        <v>0.31887319030176198</v>
      </c>
      <c r="N163" s="15">
        <v>0.75</v>
      </c>
      <c r="O163" s="15">
        <v>0.75</v>
      </c>
      <c r="P163" s="15">
        <v>0.75</v>
      </c>
      <c r="Q163" s="16">
        <f t="shared" si="5"/>
        <v>0</v>
      </c>
      <c r="R163" s="10" t="s">
        <v>441</v>
      </c>
      <c r="S163" s="10" t="s">
        <v>486</v>
      </c>
    </row>
    <row r="164" spans="1:19" x14ac:dyDescent="0.2">
      <c r="A164" s="10" t="s">
        <v>487</v>
      </c>
      <c r="B164" s="10" t="s">
        <v>435</v>
      </c>
      <c r="C164" s="10" t="s">
        <v>444</v>
      </c>
      <c r="D164" s="17" t="s">
        <v>11</v>
      </c>
      <c r="E164" s="10">
        <v>42</v>
      </c>
      <c r="F164" s="10" t="s">
        <v>101</v>
      </c>
      <c r="G164" s="10" t="s">
        <v>94</v>
      </c>
      <c r="H164" s="10" t="s">
        <v>95</v>
      </c>
      <c r="I164" s="10" t="s">
        <v>96</v>
      </c>
      <c r="J164" s="10">
        <v>256</v>
      </c>
      <c r="K164" s="10" t="s">
        <v>97</v>
      </c>
      <c r="L164" s="10">
        <v>2</v>
      </c>
      <c r="M164" s="15"/>
      <c r="N164" s="15"/>
      <c r="O164" s="15">
        <v>0.75</v>
      </c>
      <c r="P164" s="15">
        <v>0.75</v>
      </c>
      <c r="Q164" s="16">
        <f t="shared" si="5"/>
        <v>0</v>
      </c>
      <c r="R164" s="10" t="s">
        <v>445</v>
      </c>
      <c r="S164" s="10" t="s">
        <v>488</v>
      </c>
    </row>
    <row r="165" spans="1:19" x14ac:dyDescent="0.2">
      <c r="A165" s="10" t="s">
        <v>489</v>
      </c>
      <c r="B165" s="10" t="s">
        <v>435</v>
      </c>
      <c r="C165" s="10" t="s">
        <v>436</v>
      </c>
      <c r="D165" s="17" t="s">
        <v>11</v>
      </c>
      <c r="E165" s="10">
        <v>42</v>
      </c>
      <c r="F165" s="10" t="s">
        <v>101</v>
      </c>
      <c r="G165" s="10" t="s">
        <v>104</v>
      </c>
      <c r="H165" s="10" t="s">
        <v>95</v>
      </c>
      <c r="I165" s="10" t="s">
        <v>96</v>
      </c>
      <c r="J165" s="10">
        <v>256</v>
      </c>
      <c r="K165" s="10" t="s">
        <v>97</v>
      </c>
      <c r="L165" s="10">
        <v>3</v>
      </c>
      <c r="M165" s="15">
        <v>0.23225445189730901</v>
      </c>
      <c r="N165" s="15">
        <v>0.52083333333333304</v>
      </c>
      <c r="O165" s="15">
        <v>0.61111111111111105</v>
      </c>
      <c r="P165" s="15">
        <v>0.61109999999999998</v>
      </c>
      <c r="Q165" s="16">
        <f t="shared" si="5"/>
        <v>1.111111111107288E-5</v>
      </c>
      <c r="R165" s="10" t="s">
        <v>437</v>
      </c>
      <c r="S165" s="10" t="s">
        <v>490</v>
      </c>
    </row>
    <row r="166" spans="1:19" x14ac:dyDescent="0.2">
      <c r="A166" s="10" t="s">
        <v>491</v>
      </c>
      <c r="B166" s="10" t="s">
        <v>435</v>
      </c>
      <c r="C166" s="10" t="s">
        <v>440</v>
      </c>
      <c r="D166" s="17" t="s">
        <v>11</v>
      </c>
      <c r="E166" s="10">
        <v>42</v>
      </c>
      <c r="F166" s="10" t="s">
        <v>101</v>
      </c>
      <c r="G166" s="10" t="s">
        <v>104</v>
      </c>
      <c r="H166" s="10" t="s">
        <v>95</v>
      </c>
      <c r="I166" s="10" t="s">
        <v>96</v>
      </c>
      <c r="J166" s="10">
        <v>256</v>
      </c>
      <c r="K166" s="10" t="s">
        <v>97</v>
      </c>
      <c r="L166" s="10">
        <v>3</v>
      </c>
      <c r="M166" s="15">
        <v>0.31887319030176198</v>
      </c>
      <c r="N166" s="15">
        <v>0.6875</v>
      </c>
      <c r="O166" s="15">
        <v>0.61111111111111105</v>
      </c>
      <c r="P166" s="15">
        <v>0.61109999999999998</v>
      </c>
      <c r="Q166" s="16">
        <f t="shared" si="5"/>
        <v>1.111111111107288E-5</v>
      </c>
      <c r="R166" s="10" t="s">
        <v>441</v>
      </c>
      <c r="S166" s="10" t="s">
        <v>492</v>
      </c>
    </row>
    <row r="167" spans="1:19" x14ac:dyDescent="0.2">
      <c r="A167" s="10" t="s">
        <v>493</v>
      </c>
      <c r="B167" s="10" t="s">
        <v>435</v>
      </c>
      <c r="C167" s="10" t="s">
        <v>444</v>
      </c>
      <c r="D167" s="17" t="s">
        <v>11</v>
      </c>
      <c r="E167" s="10">
        <v>42</v>
      </c>
      <c r="F167" s="10" t="s">
        <v>101</v>
      </c>
      <c r="G167" s="10" t="s">
        <v>104</v>
      </c>
      <c r="H167" s="10" t="s">
        <v>95</v>
      </c>
      <c r="I167" s="10" t="s">
        <v>96</v>
      </c>
      <c r="J167" s="10">
        <v>256</v>
      </c>
      <c r="K167" s="10" t="s">
        <v>97</v>
      </c>
      <c r="L167" s="10">
        <v>3</v>
      </c>
      <c r="M167" s="15"/>
      <c r="N167" s="15"/>
      <c r="O167" s="15">
        <v>0.61111111111111105</v>
      </c>
      <c r="P167" s="15">
        <v>0.61109999999999998</v>
      </c>
      <c r="Q167" s="16">
        <f t="shared" si="5"/>
        <v>1.111111111107288E-5</v>
      </c>
      <c r="R167" s="10" t="s">
        <v>445</v>
      </c>
      <c r="S167" s="10" t="s">
        <v>494</v>
      </c>
    </row>
    <row r="168" spans="1:19" x14ac:dyDescent="0.2">
      <c r="A168" s="10" t="s">
        <v>495</v>
      </c>
      <c r="B168" s="10" t="s">
        <v>435</v>
      </c>
      <c r="C168" s="10" t="s">
        <v>436</v>
      </c>
      <c r="D168" s="17" t="s">
        <v>11</v>
      </c>
      <c r="E168" s="10">
        <v>42</v>
      </c>
      <c r="F168" s="10" t="s">
        <v>104</v>
      </c>
      <c r="G168" s="10" t="s">
        <v>93</v>
      </c>
      <c r="H168" s="10" t="s">
        <v>95</v>
      </c>
      <c r="I168" s="10" t="s">
        <v>96</v>
      </c>
      <c r="J168" s="10">
        <v>256</v>
      </c>
      <c r="K168" s="10" t="s">
        <v>97</v>
      </c>
      <c r="L168" s="10">
        <v>6</v>
      </c>
      <c r="M168" s="15">
        <v>0.52083333333333304</v>
      </c>
      <c r="N168" s="15">
        <v>0.61111111111111105</v>
      </c>
      <c r="O168" s="15">
        <v>0.40833333333333299</v>
      </c>
      <c r="P168" s="15">
        <v>0.4083</v>
      </c>
      <c r="Q168" s="16">
        <f t="shared" si="5"/>
        <v>3.3333333332996595E-5</v>
      </c>
      <c r="R168" s="10" t="s">
        <v>437</v>
      </c>
      <c r="S168" s="10" t="s">
        <v>496</v>
      </c>
    </row>
    <row r="169" spans="1:19" x14ac:dyDescent="0.2">
      <c r="A169" s="10" t="s">
        <v>497</v>
      </c>
      <c r="B169" s="10" t="s">
        <v>435</v>
      </c>
      <c r="C169" s="10" t="s">
        <v>440</v>
      </c>
      <c r="D169" s="17" t="s">
        <v>11</v>
      </c>
      <c r="E169" s="10">
        <v>42</v>
      </c>
      <c r="F169" s="10" t="s">
        <v>104</v>
      </c>
      <c r="G169" s="10" t="s">
        <v>93</v>
      </c>
      <c r="H169" s="10" t="s">
        <v>95</v>
      </c>
      <c r="I169" s="10" t="s">
        <v>96</v>
      </c>
      <c r="J169" s="10">
        <v>256</v>
      </c>
      <c r="K169" s="10" t="s">
        <v>97</v>
      </c>
      <c r="L169" s="10">
        <v>6</v>
      </c>
      <c r="M169" s="15">
        <v>0.52083333333333304</v>
      </c>
      <c r="N169" s="15">
        <v>0.61111111111111105</v>
      </c>
      <c r="O169" s="15">
        <v>0.28333333333333299</v>
      </c>
      <c r="P169" s="15">
        <v>0.4083</v>
      </c>
      <c r="Q169" s="16">
        <f t="shared" si="5"/>
        <v>-0.124966666666667</v>
      </c>
      <c r="R169" s="10" t="s">
        <v>441</v>
      </c>
      <c r="S169" s="10" t="s">
        <v>498</v>
      </c>
    </row>
    <row r="170" spans="1:19" x14ac:dyDescent="0.2">
      <c r="A170" s="10" t="s">
        <v>499</v>
      </c>
      <c r="B170" s="10" t="s">
        <v>435</v>
      </c>
      <c r="C170" s="10" t="s">
        <v>444</v>
      </c>
      <c r="D170" s="17" t="s">
        <v>11</v>
      </c>
      <c r="E170" s="10">
        <v>42</v>
      </c>
      <c r="F170" s="10" t="s">
        <v>104</v>
      </c>
      <c r="G170" s="10" t="s">
        <v>93</v>
      </c>
      <c r="H170" s="10" t="s">
        <v>95</v>
      </c>
      <c r="I170" s="10" t="s">
        <v>96</v>
      </c>
      <c r="J170" s="10">
        <v>256</v>
      </c>
      <c r="K170" s="10" t="s">
        <v>97</v>
      </c>
      <c r="L170" s="10">
        <v>6</v>
      </c>
      <c r="M170" s="15"/>
      <c r="N170" s="15"/>
      <c r="O170" s="15">
        <v>0.40833333333333299</v>
      </c>
      <c r="P170" s="15">
        <v>0.4083</v>
      </c>
      <c r="Q170" s="16">
        <f t="shared" si="5"/>
        <v>3.3333333332996595E-5</v>
      </c>
      <c r="R170" s="10" t="s">
        <v>445</v>
      </c>
      <c r="S170" s="10" t="s">
        <v>500</v>
      </c>
    </row>
    <row r="171" spans="1:19" x14ac:dyDescent="0.2">
      <c r="A171" s="10" t="s">
        <v>501</v>
      </c>
      <c r="B171" s="10" t="s">
        <v>435</v>
      </c>
      <c r="C171" s="10" t="s">
        <v>436</v>
      </c>
      <c r="D171" s="17" t="s">
        <v>11</v>
      </c>
      <c r="E171" s="10">
        <v>42</v>
      </c>
      <c r="F171" s="10" t="s">
        <v>104</v>
      </c>
      <c r="G171" s="10" t="s">
        <v>94</v>
      </c>
      <c r="H171" s="10" t="s">
        <v>95</v>
      </c>
      <c r="I171" s="10" t="s">
        <v>96</v>
      </c>
      <c r="J171" s="10">
        <v>256</v>
      </c>
      <c r="K171" s="10" t="s">
        <v>97</v>
      </c>
      <c r="L171" s="10">
        <v>2</v>
      </c>
      <c r="M171" s="15">
        <v>0.52083333333333304</v>
      </c>
      <c r="N171" s="15">
        <v>0.75</v>
      </c>
      <c r="O171" s="15">
        <v>0.75</v>
      </c>
      <c r="P171" s="15">
        <v>0.75</v>
      </c>
      <c r="Q171" s="16">
        <f t="shared" si="5"/>
        <v>0</v>
      </c>
      <c r="R171" s="10" t="s">
        <v>437</v>
      </c>
      <c r="S171" s="10" t="s">
        <v>502</v>
      </c>
    </row>
    <row r="172" spans="1:19" x14ac:dyDescent="0.2">
      <c r="A172" s="10" t="s">
        <v>503</v>
      </c>
      <c r="B172" s="10" t="s">
        <v>435</v>
      </c>
      <c r="C172" s="10" t="s">
        <v>440</v>
      </c>
      <c r="D172" s="17" t="s">
        <v>11</v>
      </c>
      <c r="E172" s="10">
        <v>42</v>
      </c>
      <c r="F172" s="10" t="s">
        <v>104</v>
      </c>
      <c r="G172" s="10" t="s">
        <v>94</v>
      </c>
      <c r="H172" s="10" t="s">
        <v>95</v>
      </c>
      <c r="I172" s="10" t="s">
        <v>96</v>
      </c>
      <c r="J172" s="10">
        <v>256</v>
      </c>
      <c r="K172" s="10" t="s">
        <v>97</v>
      </c>
      <c r="L172" s="10">
        <v>2</v>
      </c>
      <c r="M172" s="15">
        <v>0.52083333333333304</v>
      </c>
      <c r="N172" s="15">
        <v>0.75</v>
      </c>
      <c r="O172" s="15">
        <v>0.75</v>
      </c>
      <c r="P172" s="15">
        <v>0.75</v>
      </c>
      <c r="Q172" s="16">
        <f t="shared" si="5"/>
        <v>0</v>
      </c>
      <c r="R172" s="10" t="s">
        <v>441</v>
      </c>
      <c r="S172" s="10" t="s">
        <v>504</v>
      </c>
    </row>
    <row r="173" spans="1:19" x14ac:dyDescent="0.2">
      <c r="A173" s="10" t="s">
        <v>505</v>
      </c>
      <c r="B173" s="10" t="s">
        <v>435</v>
      </c>
      <c r="C173" s="10" t="s">
        <v>444</v>
      </c>
      <c r="D173" s="17" t="s">
        <v>11</v>
      </c>
      <c r="E173" s="10">
        <v>42</v>
      </c>
      <c r="F173" s="10" t="s">
        <v>104</v>
      </c>
      <c r="G173" s="10" t="s">
        <v>94</v>
      </c>
      <c r="H173" s="10" t="s">
        <v>95</v>
      </c>
      <c r="I173" s="10" t="s">
        <v>96</v>
      </c>
      <c r="J173" s="10">
        <v>256</v>
      </c>
      <c r="K173" s="10" t="s">
        <v>97</v>
      </c>
      <c r="L173" s="10">
        <v>2</v>
      </c>
      <c r="M173" s="15"/>
      <c r="N173" s="15"/>
      <c r="O173" s="15">
        <v>0.75</v>
      </c>
      <c r="P173" s="15">
        <v>0.75</v>
      </c>
      <c r="Q173" s="16">
        <f t="shared" si="5"/>
        <v>0</v>
      </c>
      <c r="R173" s="10" t="s">
        <v>445</v>
      </c>
      <c r="S173" s="10" t="s">
        <v>506</v>
      </c>
    </row>
    <row r="174" spans="1:19" x14ac:dyDescent="0.2">
      <c r="A174" s="10" t="s">
        <v>507</v>
      </c>
      <c r="B174" s="10" t="s">
        <v>435</v>
      </c>
      <c r="C174" s="10" t="s">
        <v>436</v>
      </c>
      <c r="D174" s="17" t="s">
        <v>11</v>
      </c>
      <c r="E174" s="10">
        <v>42</v>
      </c>
      <c r="F174" s="10" t="s">
        <v>104</v>
      </c>
      <c r="G174" s="10" t="s">
        <v>101</v>
      </c>
      <c r="H174" s="10" t="s">
        <v>95</v>
      </c>
      <c r="I174" s="10" t="s">
        <v>96</v>
      </c>
      <c r="J174" s="10">
        <v>256</v>
      </c>
      <c r="K174" s="10" t="s">
        <v>97</v>
      </c>
      <c r="L174" s="10">
        <v>21</v>
      </c>
      <c r="M174" s="15">
        <v>0.52083333333333304</v>
      </c>
      <c r="N174" s="15">
        <v>0.23225445189730901</v>
      </c>
      <c r="O174" s="15">
        <v>0.18152501768711399</v>
      </c>
      <c r="P174" s="15">
        <v>0.1736</v>
      </c>
      <c r="Q174" s="16">
        <f t="shared" si="5"/>
        <v>7.9250176871139832E-3</v>
      </c>
      <c r="R174" s="10" t="s">
        <v>437</v>
      </c>
      <c r="S174" s="10" t="s">
        <v>508</v>
      </c>
    </row>
    <row r="175" spans="1:19" x14ac:dyDescent="0.2">
      <c r="A175" s="10" t="s">
        <v>509</v>
      </c>
      <c r="B175" s="10" t="s">
        <v>435</v>
      </c>
      <c r="C175" s="10" t="s">
        <v>440</v>
      </c>
      <c r="D175" s="17" t="s">
        <v>11</v>
      </c>
      <c r="E175" s="10">
        <v>42</v>
      </c>
      <c r="F175" s="10" t="s">
        <v>104</v>
      </c>
      <c r="G175" s="10" t="s">
        <v>101</v>
      </c>
      <c r="H175" s="10" t="s">
        <v>95</v>
      </c>
      <c r="I175" s="10" t="s">
        <v>96</v>
      </c>
      <c r="J175" s="10">
        <v>256</v>
      </c>
      <c r="K175" s="10" t="s">
        <v>97</v>
      </c>
      <c r="L175" s="10">
        <v>21</v>
      </c>
      <c r="M175" s="15">
        <v>0.52083333333333304</v>
      </c>
      <c r="N175" s="15">
        <v>0.261732909947196</v>
      </c>
      <c r="O175" s="15">
        <v>0.20489743683021</v>
      </c>
      <c r="P175" s="15">
        <v>0.1736</v>
      </c>
      <c r="Q175" s="16">
        <f t="shared" si="5"/>
        <v>3.1297436830209996E-2</v>
      </c>
      <c r="R175" s="10" t="s">
        <v>441</v>
      </c>
      <c r="S175" s="10" t="s">
        <v>510</v>
      </c>
    </row>
    <row r="176" spans="1:19" x14ac:dyDescent="0.2">
      <c r="A176" s="10" t="s">
        <v>511</v>
      </c>
      <c r="B176" s="10" t="s">
        <v>435</v>
      </c>
      <c r="C176" s="10" t="s">
        <v>444</v>
      </c>
      <c r="D176" s="17" t="s">
        <v>11</v>
      </c>
      <c r="E176" s="10">
        <v>42</v>
      </c>
      <c r="F176" s="10" t="s">
        <v>104</v>
      </c>
      <c r="G176" s="10" t="s">
        <v>101</v>
      </c>
      <c r="H176" s="10" t="s">
        <v>95</v>
      </c>
      <c r="I176" s="10" t="s">
        <v>96</v>
      </c>
      <c r="J176" s="10">
        <v>256</v>
      </c>
      <c r="K176" s="10" t="s">
        <v>97</v>
      </c>
      <c r="L176" s="10">
        <v>21</v>
      </c>
      <c r="M176" s="15"/>
      <c r="N176" s="15"/>
      <c r="O176" s="15">
        <v>0.173949260111357</v>
      </c>
      <c r="P176" s="15">
        <v>0.1736</v>
      </c>
      <c r="Q176" s="16">
        <f t="shared" si="5"/>
        <v>3.4926011135699708E-4</v>
      </c>
      <c r="R176" s="10" t="s">
        <v>445</v>
      </c>
      <c r="S176" s="10" t="s">
        <v>512</v>
      </c>
    </row>
    <row r="177" spans="1:19" x14ac:dyDescent="0.2">
      <c r="A177" s="10" t="s">
        <v>513</v>
      </c>
      <c r="B177" s="10" t="s">
        <v>435</v>
      </c>
      <c r="C177" s="10" t="s">
        <v>514</v>
      </c>
      <c r="D177" s="17" t="s">
        <v>11</v>
      </c>
      <c r="E177" s="10">
        <v>42</v>
      </c>
      <c r="F177" s="10" t="s">
        <v>515</v>
      </c>
      <c r="G177" s="10" t="s">
        <v>515</v>
      </c>
      <c r="H177" s="10" t="s">
        <v>95</v>
      </c>
      <c r="I177" s="10" t="s">
        <v>96</v>
      </c>
      <c r="J177" s="10">
        <v>256</v>
      </c>
      <c r="K177" s="10" t="s">
        <v>97</v>
      </c>
      <c r="L177" s="10"/>
      <c r="M177" s="15">
        <v>0.78287853763025805</v>
      </c>
      <c r="N177" s="15">
        <v>0.88563976875551398</v>
      </c>
      <c r="O177" s="15">
        <v>0.876713007852714</v>
      </c>
      <c r="P177" s="15"/>
      <c r="Q177" s="16" t="str">
        <f t="shared" si="5"/>
        <v/>
      </c>
      <c r="R177" s="10" t="s">
        <v>516</v>
      </c>
      <c r="S177" s="10" t="s">
        <v>517</v>
      </c>
    </row>
  </sheetData>
  <autoFilter ref="A1:S177" xr:uid="{00000000-0009-0000-0000-000001000000}"/>
  <phoneticPr fontId="8" type="noConversion"/>
  <conditionalFormatting sqref="Q2:Q177">
    <cfRule type="cellIs" dxfId="15" priority="2" operator="greaterThan">
      <formula>0.05</formula>
    </cfRule>
    <cfRule type="cellIs" dxfId="14" priority="3" operator="between">
      <formula>-0.02</formula>
      <formula>0.02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zoomScaleNormal="100" workbookViewId="0">
      <pane xSplit="1" ySplit="2" topLeftCell="B8" activePane="bottomRight" state="frozen"/>
      <selection pane="topRight" activeCell="B1" sqref="B1"/>
      <selection pane="bottomLeft" activeCell="A4" sqref="A4"/>
      <selection pane="bottomRight" activeCell="A2" sqref="A2:XFD2"/>
    </sheetView>
  </sheetViews>
  <sheetFormatPr baseColWidth="10" defaultColWidth="8.5" defaultRowHeight="15" x14ac:dyDescent="0.2"/>
  <cols>
    <col min="1" max="1" width="34" customWidth="1"/>
    <col min="2" max="2" width="14" customWidth="1"/>
    <col min="3" max="3" width="16" customWidth="1"/>
    <col min="4" max="4" width="14" customWidth="1"/>
    <col min="5" max="5" width="16" customWidth="1"/>
    <col min="6" max="6" width="12" customWidth="1"/>
  </cols>
  <sheetData>
    <row r="1" spans="1:6" ht="18" x14ac:dyDescent="0.2">
      <c r="A1" s="4" t="s">
        <v>518</v>
      </c>
    </row>
    <row r="3" spans="1:6" x14ac:dyDescent="0.2">
      <c r="A3" s="5" t="s">
        <v>519</v>
      </c>
    </row>
    <row r="4" spans="1:6" x14ac:dyDescent="0.2">
      <c r="A4" s="8" t="s">
        <v>520</v>
      </c>
      <c r="B4" s="8" t="s">
        <v>521</v>
      </c>
      <c r="C4" s="8" t="s">
        <v>104</v>
      </c>
      <c r="D4" s="8" t="s">
        <v>522</v>
      </c>
      <c r="E4" s="8" t="s">
        <v>523</v>
      </c>
      <c r="F4" s="8" t="s">
        <v>524</v>
      </c>
    </row>
    <row r="5" spans="1:6" x14ac:dyDescent="0.2">
      <c r="A5" s="6" t="s">
        <v>521</v>
      </c>
      <c r="B5" s="19" t="s">
        <v>525</v>
      </c>
      <c r="C5" s="15">
        <f>IFERROR(INDEX('All Runs'!$O$2:$O$177,MATCH("t5_s42|BIKE_7_to_s1kd-tools-doc",'All Runs'!$A$2:$A$177,0)),"n/a")</f>
        <v>0.61111111111111105</v>
      </c>
      <c r="D5" s="15">
        <f>IFERROR(INDEX('All Runs'!$O$2:$O$177,MATCH("t5_s42|BIKE_7_to_FOSSIG",'All Runs'!$A$2:$A$177,0)),"n/a")</f>
        <v>0.75</v>
      </c>
      <c r="E5" s="15">
        <f>IFERROR(INDEX('All Runs'!$O$2:$O$177,MATCH("t5_s42|BIKE_7_to_S1000D_spec_sample",'All Runs'!$A$2:$A$177,0)),"n/a")</f>
        <v>0.16706290703415899</v>
      </c>
      <c r="F5" s="15">
        <f>IFERROR(AVERAGE(B5:E5),"n/a")</f>
        <v>0.50939133938175674</v>
      </c>
    </row>
    <row r="6" spans="1:6" x14ac:dyDescent="0.2">
      <c r="A6" s="6" t="s">
        <v>104</v>
      </c>
      <c r="B6" s="15">
        <f>IFERROR(INDEX('All Runs'!$O$2:$O$177,MATCH("t5_s42|s1kd-tools-doc_to_BIKE_7",'All Runs'!$A$2:$A$177,0)),"n/a")</f>
        <v>0.49166666666666697</v>
      </c>
      <c r="C6" s="19" t="s">
        <v>525</v>
      </c>
      <c r="D6" s="15">
        <f>IFERROR(INDEX('All Runs'!$O$2:$O$177,MATCH("t5_s42|s1kd-tools-doc_to_FOSSIG",'All Runs'!$A$2:$A$177,0)),"n/a")</f>
        <v>0.75</v>
      </c>
      <c r="E6" s="15">
        <f>IFERROR(INDEX('All Runs'!$O$2:$O$177,MATCH("t5_s42|s1kd-tools-doc_to_S1000D_spec_sample",'All Runs'!$A$2:$A$177,0)),"n/a")</f>
        <v>0.166577927740024</v>
      </c>
      <c r="F6" s="15">
        <f>IFERROR(AVERAGE(B6:E6),"n/a")</f>
        <v>0.46941486480223027</v>
      </c>
    </row>
    <row r="7" spans="1:6" x14ac:dyDescent="0.2">
      <c r="A7" s="6" t="s">
        <v>522</v>
      </c>
      <c r="B7" s="15">
        <f>IFERROR(INDEX('All Runs'!$O$2:$O$177,MATCH("t5_s42|FOSSIG_to_BIKE_7",'All Runs'!$A$2:$A$177,0)),"n/a")</f>
        <v>0.43611111111111101</v>
      </c>
      <c r="C7" s="15">
        <f>IFERROR(INDEX('All Runs'!$O$2:$O$177,MATCH("t5_s42|FOSSIG_to_s1kd-tools-doc",'All Runs'!$A$2:$A$177,0)),"n/a")</f>
        <v>0.61111111111111105</v>
      </c>
      <c r="D7" s="19" t="s">
        <v>525</v>
      </c>
      <c r="E7" s="15">
        <f>IFERROR(INDEX('All Runs'!$O$2:$O$177,MATCH("t5_s42|FOSSIG_to_S1000D_spec_sample",'All Runs'!$A$2:$A$177,0)),"n/a")</f>
        <v>0.20247593393878199</v>
      </c>
      <c r="F7" s="15">
        <f>IFERROR(AVERAGE(B7:E7),"n/a")</f>
        <v>0.41656605205366803</v>
      </c>
    </row>
    <row r="8" spans="1:6" x14ac:dyDescent="0.2">
      <c r="A8" s="6" t="s">
        <v>523</v>
      </c>
      <c r="B8" s="15">
        <f>IFERROR(INDEX('All Runs'!$O$2:$O$177,MATCH("t5_s42|S1000D_spec_sample_to_BIKE_7",'All Runs'!$A$2:$A$177,0)),"n/a")</f>
        <v>0.43055555555555602</v>
      </c>
      <c r="C8" s="15">
        <f>IFERROR(INDEX('All Runs'!$O$2:$O$177,MATCH("t5_s42|S1000D_spec_sample_to_s1kd-tools-doc",'All Runs'!$A$2:$A$177,0)),"n/a")</f>
        <v>0.61111111111111105</v>
      </c>
      <c r="D8" s="15">
        <f>IFERROR(INDEX('All Runs'!$O$2:$O$177,MATCH("t5_s42|S1000D_spec_sample_to_FOSSIG",'All Runs'!$A$2:$A$177,0)),"n/a")</f>
        <v>0.75</v>
      </c>
      <c r="E8" s="19" t="s">
        <v>525</v>
      </c>
      <c r="F8" s="15">
        <f>IFERROR(AVERAGE(B8:E8),"n/a")</f>
        <v>0.59722222222222232</v>
      </c>
    </row>
    <row r="9" spans="1:6" x14ac:dyDescent="0.2">
      <c r="A9" s="20" t="s">
        <v>526</v>
      </c>
      <c r="B9" s="11">
        <v>0.4083</v>
      </c>
      <c r="C9" s="11">
        <v>0.61109999999999998</v>
      </c>
      <c r="D9" s="11">
        <v>0.75</v>
      </c>
      <c r="E9" s="11">
        <v>0.1736</v>
      </c>
    </row>
    <row r="10" spans="1:6" x14ac:dyDescent="0.2">
      <c r="A10" s="20" t="s">
        <v>527</v>
      </c>
      <c r="B10" s="12">
        <v>6</v>
      </c>
      <c r="C10" s="12">
        <v>3</v>
      </c>
      <c r="D10" s="12">
        <v>2</v>
      </c>
      <c r="E10" s="12">
        <v>21</v>
      </c>
    </row>
    <row r="12" spans="1:6" x14ac:dyDescent="0.2">
      <c r="A12" s="5" t="s">
        <v>528</v>
      </c>
    </row>
    <row r="13" spans="1:6" x14ac:dyDescent="0.2">
      <c r="A13" s="8" t="s">
        <v>520</v>
      </c>
      <c r="B13" s="8" t="s">
        <v>521</v>
      </c>
      <c r="C13" s="8" t="s">
        <v>104</v>
      </c>
      <c r="D13" s="8" t="s">
        <v>522</v>
      </c>
      <c r="E13" s="8" t="s">
        <v>523</v>
      </c>
      <c r="F13" s="8" t="s">
        <v>524</v>
      </c>
    </row>
    <row r="14" spans="1:6" x14ac:dyDescent="0.2">
      <c r="A14" s="6" t="s">
        <v>521</v>
      </c>
      <c r="B14" s="19" t="s">
        <v>525</v>
      </c>
      <c r="C14" s="15">
        <f>IFERROR(INDEX('All Runs'!$O$2:$O$177,MATCH("codet5_s42|BIKE_7_to_s1kd-tools-doc",'All Runs'!$A$2:$A$177,0)),"n/a")</f>
        <v>0.61111111111111105</v>
      </c>
      <c r="D14" s="15">
        <f>IFERROR(INDEX('All Runs'!$O$2:$O$177,MATCH("codet5_s42|BIKE_7_to_FOSSIG",'All Runs'!$A$2:$A$177,0)),"n/a")</f>
        <v>0.75</v>
      </c>
      <c r="E14" s="15">
        <f>IFERROR(INDEX('All Runs'!$O$2:$O$177,MATCH("codet5_s42|BIKE_7_to_S1000D_spec_sample",'All Runs'!$A$2:$A$177,0)),"n/a")</f>
        <v>0.17765124595619999</v>
      </c>
      <c r="F14" s="15">
        <f>IFERROR(AVERAGE(B14:E14),"n/a")</f>
        <v>0.51292078568910371</v>
      </c>
    </row>
    <row r="15" spans="1:6" x14ac:dyDescent="0.2">
      <c r="A15" s="6" t="s">
        <v>104</v>
      </c>
      <c r="B15" s="15">
        <f>IFERROR(INDEX('All Runs'!$O$2:$O$177,MATCH("codet5_s42|s1kd-tools-doc_to_BIKE_7",'All Runs'!$A$2:$A$177,0)),"n/a")</f>
        <v>0.40833333333333299</v>
      </c>
      <c r="C15" s="19" t="s">
        <v>525</v>
      </c>
      <c r="D15" s="15">
        <f>IFERROR(INDEX('All Runs'!$O$2:$O$177,MATCH("codet5_s42|s1kd-tools-doc_to_FOSSIG",'All Runs'!$A$2:$A$177,0)),"n/a")</f>
        <v>0.75</v>
      </c>
      <c r="E15" s="15">
        <f>IFERROR(INDEX('All Runs'!$O$2:$O$177,MATCH("codet5_s42|s1kd-tools-doc_to_S1000D_spec_sample",'All Runs'!$A$2:$A$177,0)),"n/a")</f>
        <v>0.16955163184154801</v>
      </c>
      <c r="F15" s="15">
        <f>IFERROR(AVERAGE(B15:E15),"n/a")</f>
        <v>0.44262832172496031</v>
      </c>
    </row>
    <row r="16" spans="1:6" x14ac:dyDescent="0.2">
      <c r="A16" s="6" t="s">
        <v>522</v>
      </c>
      <c r="B16" s="15">
        <f>IFERROR(INDEX('All Runs'!$O$2:$O$177,MATCH("codet5_s42|FOSSIG_to_BIKE_7",'All Runs'!$A$2:$A$177,0)),"n/a")</f>
        <v>0.40833333333333299</v>
      </c>
      <c r="C16" s="15">
        <f>IFERROR(INDEX('All Runs'!$O$2:$O$177,MATCH("codet5_s42|FOSSIG_to_s1kd-tools-doc",'All Runs'!$A$2:$A$177,0)),"n/a")</f>
        <v>0.61111111111111105</v>
      </c>
      <c r="D16" s="19" t="s">
        <v>525</v>
      </c>
      <c r="E16" s="15">
        <f>IFERROR(INDEX('All Runs'!$O$2:$O$177,MATCH("codet5_s42|FOSSIG_to_S1000D_spec_sample",'All Runs'!$A$2:$A$177,0)),"n/a")</f>
        <v>0.163102170692839</v>
      </c>
      <c r="F16" s="15">
        <f>IFERROR(AVERAGE(B16:E16),"n/a")</f>
        <v>0.39418220504576101</v>
      </c>
    </row>
    <row r="17" spans="1:6" x14ac:dyDescent="0.2">
      <c r="A17" s="6" t="s">
        <v>523</v>
      </c>
      <c r="B17" s="15">
        <f>IFERROR(INDEX('All Runs'!$O$2:$O$177,MATCH("codet5_s42|S1000D_spec_sample_to_BIKE_7",'All Runs'!$A$2:$A$177,0)),"n/a")</f>
        <v>0.43055555555555602</v>
      </c>
      <c r="C17" s="15">
        <f>IFERROR(INDEX('All Runs'!$O$2:$O$177,MATCH("codet5_s42|S1000D_spec_sample_to_s1kd-tools-doc",'All Runs'!$A$2:$A$177,0)),"n/a")</f>
        <v>0.61111111111111105</v>
      </c>
      <c r="D17" s="15">
        <f>IFERROR(INDEX('All Runs'!$O$2:$O$177,MATCH("codet5_s42|S1000D_spec_sample_to_FOSSIG",'All Runs'!$A$2:$A$177,0)),"n/a")</f>
        <v>0.75</v>
      </c>
      <c r="E17" s="19" t="s">
        <v>525</v>
      </c>
      <c r="F17" s="15">
        <f>IFERROR(AVERAGE(B17:E17),"n/a")</f>
        <v>0.59722222222222232</v>
      </c>
    </row>
    <row r="18" spans="1:6" x14ac:dyDescent="0.2">
      <c r="A18" s="20" t="s">
        <v>526</v>
      </c>
      <c r="B18" s="11">
        <v>0.4083</v>
      </c>
      <c r="C18" s="11">
        <v>0.61109999999999998</v>
      </c>
      <c r="D18" s="11">
        <v>0.75</v>
      </c>
      <c r="E18" s="11">
        <v>0.1736</v>
      </c>
    </row>
    <row r="19" spans="1:6" x14ac:dyDescent="0.2">
      <c r="A19" s="20" t="s">
        <v>527</v>
      </c>
      <c r="B19" s="12">
        <v>6</v>
      </c>
      <c r="C19" s="12">
        <v>3</v>
      </c>
      <c r="D19" s="12">
        <v>2</v>
      </c>
      <c r="E19" s="12">
        <v>21</v>
      </c>
    </row>
    <row r="21" spans="1:6" x14ac:dyDescent="0.2">
      <c r="A21" s="5" t="s">
        <v>529</v>
      </c>
    </row>
    <row r="22" spans="1:6" x14ac:dyDescent="0.2">
      <c r="A22" s="8" t="s">
        <v>520</v>
      </c>
      <c r="B22" s="8" t="s">
        <v>521</v>
      </c>
      <c r="C22" s="8" t="s">
        <v>104</v>
      </c>
      <c r="D22" s="8" t="s">
        <v>522</v>
      </c>
      <c r="E22" s="8" t="s">
        <v>523</v>
      </c>
      <c r="F22" s="8" t="s">
        <v>524</v>
      </c>
    </row>
    <row r="23" spans="1:6" x14ac:dyDescent="0.2">
      <c r="A23" s="6" t="s">
        <v>521</v>
      </c>
      <c r="B23" s="19" t="s">
        <v>525</v>
      </c>
      <c r="C23" s="15">
        <f>IFERROR(INDEX('All Runs'!$O$2:$O$177,MATCH("cnt_p1024_s42|BIKE_7_to_s1kd-tools-doc",'All Runs'!$A$2:$A$177,0)),"n/a")</f>
        <v>0.83333333333333304</v>
      </c>
      <c r="D23" s="15">
        <f>IFERROR(INDEX('All Runs'!$O$2:$O$177,MATCH("cnt_p1024_s42|BIKE_7_to_FOSSIG",'All Runs'!$A$2:$A$177,0)),"n/a")</f>
        <v>0.75</v>
      </c>
      <c r="E23" s="15">
        <f>IFERROR(INDEX('All Runs'!$O$2:$O$177,MATCH("cnt_p1024_s42|BIKE_7_to_S1000D_spec_sample",'All Runs'!$A$2:$A$177,0)),"n/a")</f>
        <v>0.153758405991931</v>
      </c>
      <c r="F23" s="15">
        <f>IFERROR(AVERAGE(B23:E23),"n/a")</f>
        <v>0.57903057977508798</v>
      </c>
    </row>
    <row r="24" spans="1:6" x14ac:dyDescent="0.2">
      <c r="A24" s="6" t="s">
        <v>104</v>
      </c>
      <c r="B24" s="15">
        <f>IFERROR(INDEX('All Runs'!$O$2:$O$177,MATCH("cnt_p1024_s42|s1kd-tools-doc_to_BIKE_7",'All Runs'!$A$2:$A$177,0)),"n/a")</f>
        <v>0.45555555555555599</v>
      </c>
      <c r="C24" s="19" t="s">
        <v>525</v>
      </c>
      <c r="D24" s="15">
        <f>IFERROR(INDEX('All Runs'!$O$2:$O$177,MATCH("cnt_p1024_s42|s1kd-tools-doc_to_FOSSIG",'All Runs'!$A$2:$A$177,0)),"n/a")</f>
        <v>0.75</v>
      </c>
      <c r="E24" s="15">
        <f>IFERROR(INDEX('All Runs'!$O$2:$O$177,MATCH("cnt_p1024_s42|s1kd-tools-doc_to_S1000D_spec_sample",'All Runs'!$A$2:$A$177,0)),"n/a")</f>
        <v>0.17556276773990201</v>
      </c>
      <c r="F24" s="15">
        <f>IFERROR(AVERAGE(B24:E24),"n/a")</f>
        <v>0.46037277443181934</v>
      </c>
    </row>
    <row r="25" spans="1:6" x14ac:dyDescent="0.2">
      <c r="A25" s="6" t="s">
        <v>522</v>
      </c>
      <c r="B25" s="15">
        <f>IFERROR(INDEX('All Runs'!$O$2:$O$177,MATCH("cnt_p1024_s42|FOSSIG_to_BIKE_7",'All Runs'!$A$2:$A$177,0)),"n/a")</f>
        <v>0.40833333333333299</v>
      </c>
      <c r="C25" s="15">
        <f>IFERROR(INDEX('All Runs'!$O$2:$O$177,MATCH("cnt_p1024_s42|FOSSIG_to_s1kd-tools-doc",'All Runs'!$A$2:$A$177,0)),"n/a")</f>
        <v>0.61111111111111105</v>
      </c>
      <c r="D25" s="19" t="s">
        <v>525</v>
      </c>
      <c r="E25" s="15">
        <f>IFERROR(INDEX('All Runs'!$O$2:$O$177,MATCH("cnt_p1024_s42|FOSSIG_to_S1000D_spec_sample",'All Runs'!$A$2:$A$177,0)),"n/a")</f>
        <v>0.19756523821649899</v>
      </c>
      <c r="F25" s="15">
        <f>IFERROR(AVERAGE(B25:E25),"n/a")</f>
        <v>0.4056698942203143</v>
      </c>
    </row>
    <row r="26" spans="1:6" x14ac:dyDescent="0.2">
      <c r="A26" s="6" t="s">
        <v>523</v>
      </c>
      <c r="B26" s="15">
        <f>IFERROR(INDEX('All Runs'!$O$2:$O$177,MATCH("cnt_p1024_s42|S1000D_spec_sample_to_BIKE_7",'All Runs'!$A$2:$A$177,0)),"n/a")</f>
        <v>0.422222222222222</v>
      </c>
      <c r="C26" s="15">
        <f>IFERROR(INDEX('All Runs'!$O$2:$O$177,MATCH("cnt_p1024_s42|S1000D_spec_sample_to_s1kd-tools-doc",'All Runs'!$A$2:$A$177,0)),"n/a")</f>
        <v>0.61111111111111105</v>
      </c>
      <c r="D26" s="15">
        <f>IFERROR(INDEX('All Runs'!$O$2:$O$177,MATCH("cnt_p1024_s42|S1000D_spec_sample_to_FOSSIG",'All Runs'!$A$2:$A$177,0)),"n/a")</f>
        <v>0.75</v>
      </c>
      <c r="E26" s="19" t="s">
        <v>525</v>
      </c>
      <c r="F26" s="15">
        <f>IFERROR(AVERAGE(B26:E26),"n/a")</f>
        <v>0.59444444444444433</v>
      </c>
    </row>
    <row r="27" spans="1:6" x14ac:dyDescent="0.2">
      <c r="A27" s="20" t="s">
        <v>526</v>
      </c>
      <c r="B27" s="11">
        <v>0.4083</v>
      </c>
      <c r="C27" s="11">
        <v>0.61109999999999998</v>
      </c>
      <c r="D27" s="11">
        <v>0.75</v>
      </c>
      <c r="E27" s="11">
        <v>0.1736</v>
      </c>
    </row>
    <row r="28" spans="1:6" x14ac:dyDescent="0.2">
      <c r="A28" s="20" t="s">
        <v>527</v>
      </c>
      <c r="B28" s="12">
        <v>6</v>
      </c>
      <c r="C28" s="12">
        <v>3</v>
      </c>
      <c r="D28" s="12">
        <v>2</v>
      </c>
      <c r="E28" s="12">
        <v>21</v>
      </c>
    </row>
    <row r="30" spans="1:6" x14ac:dyDescent="0.2">
      <c r="A30" s="5" t="s">
        <v>530</v>
      </c>
    </row>
    <row r="31" spans="1:6" x14ac:dyDescent="0.2">
      <c r="A31" s="8" t="s">
        <v>520</v>
      </c>
      <c r="B31" s="8" t="s">
        <v>521</v>
      </c>
      <c r="C31" s="8" t="s">
        <v>104</v>
      </c>
      <c r="D31" s="8" t="s">
        <v>522</v>
      </c>
      <c r="E31" s="8" t="s">
        <v>523</v>
      </c>
      <c r="F31" s="8" t="s">
        <v>524</v>
      </c>
    </row>
    <row r="32" spans="1:6" x14ac:dyDescent="0.2">
      <c r="A32" s="6" t="s">
        <v>521</v>
      </c>
      <c r="B32" s="19" t="s">
        <v>525</v>
      </c>
      <c r="C32" s="15">
        <f>IFERROR(INDEX('All Runs'!$O$2:$O$177,MATCH("allA_meancos_p1024_s42|BIKE_7_to_s1kd-tools-doc",'All Runs'!$A$2:$A$177,0)),"n/a")</f>
        <v>0.83333333333333304</v>
      </c>
      <c r="D32" s="15">
        <f>IFERROR(INDEX('All Runs'!$O$2:$O$177,MATCH("allA_meancos_p1024_s42|BIKE_7_to_FOSSIG",'All Runs'!$A$2:$A$177,0)),"n/a")</f>
        <v>0.75</v>
      </c>
      <c r="E32" s="15">
        <f>IFERROR(INDEX('All Runs'!$O$2:$O$177,MATCH("fixA_meancos_p1024_s42|BIKE_7_to_S1000D_spec_sample",'All Runs'!$A$2:$A$177,0)),"n/a")</f>
        <v>0.898412698412698</v>
      </c>
      <c r="F32" s="15">
        <f>IFERROR(AVERAGE(B32:E32),"n/a")</f>
        <v>0.82724867724867701</v>
      </c>
    </row>
    <row r="33" spans="1:6" x14ac:dyDescent="0.2">
      <c r="A33" s="6" t="s">
        <v>104</v>
      </c>
      <c r="B33" s="15">
        <f>IFERROR(INDEX('All Runs'!$O$2:$O$177,MATCH("allA_meancos_p1024_s42|s1kd-tools-doc_to_BIKE_7",'All Runs'!$A$2:$A$177,0)),"n/a")</f>
        <v>0.65833333333333299</v>
      </c>
      <c r="C33" s="19" t="s">
        <v>525</v>
      </c>
      <c r="D33" s="15">
        <f>IFERROR(INDEX('All Runs'!$O$2:$O$177,MATCH("allA_meancos_p1024_s42|s1kd-tools-doc_to_FOSSIG",'All Runs'!$A$2:$A$177,0)),"n/a")</f>
        <v>1</v>
      </c>
      <c r="E33" s="15">
        <f>IFERROR(INDEX('All Runs'!$O$2:$O$177,MATCH("fixA_meancos_p1024_s42|s1kd-tools-doc_to_S1000D_spec_sample",'All Runs'!$A$2:$A$177,0)),"n/a")</f>
        <v>0.952380952380952</v>
      </c>
      <c r="F33" s="15">
        <f>IFERROR(AVERAGE(B33:E33),"n/a")</f>
        <v>0.87023809523809492</v>
      </c>
    </row>
    <row r="34" spans="1:6" x14ac:dyDescent="0.2">
      <c r="A34" s="6" t="s">
        <v>522</v>
      </c>
      <c r="B34" s="15">
        <f>IFERROR(INDEX('All Runs'!$O$2:$O$177,MATCH("allA_meancos_p1024_s42|FOSSIG_to_BIKE_7",'All Runs'!$A$2:$A$177,0)),"n/a")</f>
        <v>0.51944444444444404</v>
      </c>
      <c r="C34" s="15">
        <f>IFERROR(INDEX('All Runs'!$O$2:$O$177,MATCH("allA_meancos_p1024_s42|FOSSIG_to_s1kd-tools-doc",'All Runs'!$A$2:$A$177,0)),"n/a")</f>
        <v>0.83333333333333304</v>
      </c>
      <c r="D34" s="19" t="s">
        <v>525</v>
      </c>
      <c r="E34" s="15">
        <f>IFERROR(INDEX('All Runs'!$O$2:$O$177,MATCH("fixA_meancos_p1024_s42|FOSSIG_to_S1000D_spec_sample",'All Runs'!$A$2:$A$177,0)),"n/a")</f>
        <v>0.92857142857142905</v>
      </c>
      <c r="F34" s="15">
        <f>IFERROR(AVERAGE(B34:E34),"n/a")</f>
        <v>0.76044973544973526</v>
      </c>
    </row>
    <row r="35" spans="1:6" x14ac:dyDescent="0.2">
      <c r="A35" s="6" t="s">
        <v>523</v>
      </c>
      <c r="B35" s="15">
        <f>IFERROR(INDEX('All Runs'!$O$2:$O$177,MATCH("allA_meancos_p1024_s42|S1000D_spec_sample_to_BIKE_7",'All Runs'!$A$2:$A$177,0)),"n/a")</f>
        <v>0.91666666666666696</v>
      </c>
      <c r="C35" s="15">
        <f>IFERROR(INDEX('All Runs'!$O$2:$O$177,MATCH("allA_meancos_p1024_s42|S1000D_spec_sample_to_s1kd-tools-doc",'All Runs'!$A$2:$A$177,0)),"n/a")</f>
        <v>1</v>
      </c>
      <c r="D35" s="15">
        <f>IFERROR(INDEX('All Runs'!$O$2:$O$177,MATCH("allA_meancos_p1024_s42|S1000D_spec_sample_to_FOSSIG",'All Runs'!$A$2:$A$177,0)),"n/a")</f>
        <v>1</v>
      </c>
      <c r="E35" s="19" t="s">
        <v>525</v>
      </c>
      <c r="F35" s="15">
        <f>IFERROR(AVERAGE(B35:E35),"n/a")</f>
        <v>0.97222222222222232</v>
      </c>
    </row>
    <row r="36" spans="1:6" x14ac:dyDescent="0.2">
      <c r="A36" s="20" t="s">
        <v>526</v>
      </c>
      <c r="B36" s="11">
        <v>0.4083</v>
      </c>
      <c r="C36" s="11">
        <v>0.61109999999999998</v>
      </c>
      <c r="D36" s="11">
        <v>0.75</v>
      </c>
      <c r="E36" s="11">
        <v>0.1736</v>
      </c>
    </row>
    <row r="37" spans="1:6" x14ac:dyDescent="0.2">
      <c r="A37" s="20" t="s">
        <v>527</v>
      </c>
      <c r="B37" s="12">
        <v>6</v>
      </c>
      <c r="C37" s="12">
        <v>3</v>
      </c>
      <c r="D37" s="12">
        <v>2</v>
      </c>
      <c r="E37" s="12">
        <v>21</v>
      </c>
    </row>
    <row r="39" spans="1:6" x14ac:dyDescent="0.2">
      <c r="A39" s="5" t="s">
        <v>531</v>
      </c>
    </row>
    <row r="40" spans="1:6" x14ac:dyDescent="0.2">
      <c r="A40" s="8" t="s">
        <v>520</v>
      </c>
      <c r="B40" s="8" t="s">
        <v>521</v>
      </c>
      <c r="C40" s="8" t="s">
        <v>104</v>
      </c>
      <c r="D40" s="8" t="s">
        <v>522</v>
      </c>
      <c r="E40" s="8" t="s">
        <v>523</v>
      </c>
      <c r="F40" s="8" t="s">
        <v>524</v>
      </c>
    </row>
    <row r="41" spans="1:6" x14ac:dyDescent="0.2">
      <c r="A41" s="6" t="s">
        <v>521</v>
      </c>
      <c r="B41" s="19" t="s">
        <v>525</v>
      </c>
      <c r="C41" s="15">
        <f>IFERROR(INDEX('All Runs'!$O$2:$O$177,MATCH("allA_meancos_p2048_s42|BIKE_7_to_s1kd-tools-doc",'All Runs'!$A$2:$A$177,0)),"n/a")</f>
        <v>1</v>
      </c>
      <c r="D41" s="15">
        <f>IFERROR(INDEX('All Runs'!$O$2:$O$177,MATCH("allA_meancos_p2048_s42|BIKE_7_to_FOSSIG",'All Runs'!$A$2:$A$177,0)),"n/a")</f>
        <v>0.75</v>
      </c>
      <c r="E41" s="15" t="str">
        <f>IFERROR(INDEX('All Runs'!$O$2:$O$177,MATCH("none|BIKE_7_to_S1000D_spec_sample",'All Runs'!$A$2:$A$177,0)),"n/a")</f>
        <v>n/a</v>
      </c>
      <c r="F41" s="15">
        <f>IFERROR(AVERAGE(B41:E41),"n/a")</f>
        <v>0.875</v>
      </c>
    </row>
    <row r="42" spans="1:6" x14ac:dyDescent="0.2">
      <c r="A42" s="6" t="s">
        <v>104</v>
      </c>
      <c r="B42" s="15">
        <f>IFERROR(INDEX('All Runs'!$O$2:$O$177,MATCH("allA_meancos_p2048_s42|s1kd-tools-doc_to_BIKE_7",'All Runs'!$A$2:$A$177,0)),"n/a")</f>
        <v>0.80555555555555602</v>
      </c>
      <c r="C42" s="19" t="s">
        <v>525</v>
      </c>
      <c r="D42" s="15">
        <f>IFERROR(INDEX('All Runs'!$O$2:$O$177,MATCH("allA_meancos_p2048_s42|s1kd-tools-doc_to_FOSSIG",'All Runs'!$A$2:$A$177,0)),"n/a")</f>
        <v>0.75</v>
      </c>
      <c r="E42" s="15" t="str">
        <f>IFERROR(INDEX('All Runs'!$O$2:$O$177,MATCH("none|s1kd-tools-doc_to_S1000D_spec_sample",'All Runs'!$A$2:$A$177,0)),"n/a")</f>
        <v>n/a</v>
      </c>
      <c r="F42" s="15">
        <f>IFERROR(AVERAGE(B42:E42),"n/a")</f>
        <v>0.77777777777777801</v>
      </c>
    </row>
    <row r="43" spans="1:6" x14ac:dyDescent="0.2">
      <c r="A43" s="6" t="s">
        <v>522</v>
      </c>
      <c r="B43" s="15">
        <f>IFERROR(INDEX('All Runs'!$O$2:$O$177,MATCH("allA_meancos_p2048_s42|FOSSIG_to_BIKE_7",'All Runs'!$A$2:$A$177,0)),"n/a")</f>
        <v>0.91666666666666696</v>
      </c>
      <c r="C43" s="15">
        <f>IFERROR(INDEX('All Runs'!$O$2:$O$177,MATCH("allA_meancos_p2048_s42|FOSSIG_to_s1kd-tools-doc",'All Runs'!$A$2:$A$177,0)),"n/a")</f>
        <v>1</v>
      </c>
      <c r="D43" s="19" t="s">
        <v>525</v>
      </c>
      <c r="E43" s="15" t="str">
        <f>IFERROR(INDEX('All Runs'!$O$2:$O$177,MATCH("none|FOSSIG_to_S1000D_spec_sample",'All Runs'!$A$2:$A$177,0)),"n/a")</f>
        <v>n/a</v>
      </c>
      <c r="F43" s="15">
        <f>IFERROR(AVERAGE(B43:E43),"n/a")</f>
        <v>0.95833333333333348</v>
      </c>
    </row>
    <row r="44" spans="1:6" x14ac:dyDescent="0.2">
      <c r="A44" s="6" t="s">
        <v>523</v>
      </c>
      <c r="B44" s="15">
        <f>IFERROR(INDEX('All Runs'!$O$2:$O$177,MATCH("allA_meancos_p2048_s42|S1000D_spec_sample_to_BIKE_7",'All Runs'!$A$2:$A$177,0)),"n/a")</f>
        <v>0.83333333333333304</v>
      </c>
      <c r="C44" s="15">
        <f>IFERROR(INDEX('All Runs'!$O$2:$O$177,MATCH("allA_meancos_p2048_s42|S1000D_spec_sample_to_s1kd-tools-doc",'All Runs'!$A$2:$A$177,0)),"n/a")</f>
        <v>1</v>
      </c>
      <c r="D44" s="15">
        <f>IFERROR(INDEX('All Runs'!$O$2:$O$177,MATCH("allA_meancos_p2048_s42|S1000D_spec_sample_to_FOSSIG",'All Runs'!$A$2:$A$177,0)),"n/a")</f>
        <v>1</v>
      </c>
      <c r="E44" s="19" t="s">
        <v>525</v>
      </c>
      <c r="F44" s="15">
        <f>IFERROR(AVERAGE(B44:E44),"n/a")</f>
        <v>0.94444444444444431</v>
      </c>
    </row>
    <row r="45" spans="1:6" x14ac:dyDescent="0.2">
      <c r="A45" s="20" t="s">
        <v>526</v>
      </c>
      <c r="B45" s="11">
        <v>0.4083</v>
      </c>
      <c r="C45" s="11">
        <v>0.61109999999999998</v>
      </c>
      <c r="D45" s="11">
        <v>0.75</v>
      </c>
      <c r="E45" s="11">
        <v>0.1736</v>
      </c>
    </row>
    <row r="46" spans="1:6" x14ac:dyDescent="0.2">
      <c r="A46" s="20" t="s">
        <v>527</v>
      </c>
      <c r="B46" s="12">
        <v>6</v>
      </c>
      <c r="C46" s="12">
        <v>3</v>
      </c>
      <c r="D46" s="12">
        <v>2</v>
      </c>
      <c r="E46" s="12">
        <v>21</v>
      </c>
    </row>
    <row r="48" spans="1:6" x14ac:dyDescent="0.2">
      <c r="A48" s="5" t="s">
        <v>532</v>
      </c>
    </row>
    <row r="49" spans="1:5" x14ac:dyDescent="0.2">
      <c r="A49" s="8" t="s">
        <v>76</v>
      </c>
      <c r="B49" s="8" t="s">
        <v>521</v>
      </c>
      <c r="C49" s="8" t="s">
        <v>104</v>
      </c>
      <c r="D49" s="8" t="s">
        <v>522</v>
      </c>
      <c r="E49" s="8" t="s">
        <v>523</v>
      </c>
    </row>
    <row r="50" spans="1:5" x14ac:dyDescent="0.2">
      <c r="A50" s="6">
        <v>42</v>
      </c>
      <c r="B50" s="15">
        <f>IFERROR(INDEX('All Runs'!$O$2:$O$177,MATCH("nopreAll_meancos_p1024_s42|BIKE_7",'All Runs'!$A$2:$A$177,0)),"n/a")</f>
        <v>0.53333333333333299</v>
      </c>
      <c r="C50" s="15">
        <f>IFERROR(INDEX('All Runs'!$O$2:$O$177,MATCH("nopreAll_meancos_p1024_s42|s1kd-tools-doc",'All Runs'!$A$2:$A$177,0)),"n/a")</f>
        <v>0.83333333333333304</v>
      </c>
      <c r="D50" s="15">
        <f>IFERROR(INDEX('All Runs'!$O$2:$O$177,MATCH("nopreAll_meancos_p1024_s42|FOSSIG",'All Runs'!$A$2:$A$177,0)),"n/a")</f>
        <v>0.75</v>
      </c>
      <c r="E50" s="15">
        <f>IFERROR(INDEX('All Runs'!$O$2:$O$177,MATCH("nopre_meancos_p1024_s42|S1000D_spec_sample",'All Runs'!$A$2:$A$177,0)),"n/a")</f>
        <v>0.91666666666666696</v>
      </c>
    </row>
    <row r="51" spans="1:5" x14ac:dyDescent="0.2">
      <c r="A51" s="6">
        <v>1</v>
      </c>
      <c r="B51" s="15">
        <f>IFERROR(INDEX('All Runs'!$O$2:$O$177,MATCH("nopreAll_meancos_p1024_s1|BIKE_7",'All Runs'!$A$2:$A$177,0)),"n/a")</f>
        <v>0.63055555555555598</v>
      </c>
      <c r="C51" s="15">
        <f>IFERROR(INDEX('All Runs'!$O$2:$O$177,MATCH("nopreAll_meancos_p1024_s1|s1kd-tools-doc",'All Runs'!$A$2:$A$177,0)),"n/a")</f>
        <v>0.66666666666666696</v>
      </c>
      <c r="D51" s="15">
        <f>IFERROR(INDEX('All Runs'!$O$2:$O$177,MATCH("nopreAll_meancos_p1024_s1|FOSSIG",'All Runs'!$A$2:$A$177,0)),"n/a")</f>
        <v>1</v>
      </c>
      <c r="E51" s="15">
        <f>IFERROR(INDEX('All Runs'!$O$2:$O$177,MATCH("nopre_meancos_p1024_s1|S1000D_spec_sample",'All Runs'!$A$2:$A$177,0)),"n/a")</f>
        <v>0.97619047619047605</v>
      </c>
    </row>
    <row r="52" spans="1:5" x14ac:dyDescent="0.2">
      <c r="A52" s="6">
        <v>2</v>
      </c>
      <c r="B52" s="15">
        <f>IFERROR(INDEX('All Runs'!$O$2:$O$177,MATCH("nopreAll_meancos_p1024_s2|BIKE_7",'All Runs'!$A$2:$A$177,0)),"n/a")</f>
        <v>0.53333333333333299</v>
      </c>
      <c r="C52" s="15">
        <f>IFERROR(INDEX('All Runs'!$O$2:$O$177,MATCH("nopreAll_meancos_p1024_s2|s1kd-tools-doc",'All Runs'!$A$2:$A$177,0)),"n/a")</f>
        <v>0.83333333333333304</v>
      </c>
      <c r="D52" s="15">
        <f>IFERROR(INDEX('All Runs'!$O$2:$O$177,MATCH("nopreAll_meancos_p1024_s2|FOSSIG",'All Runs'!$A$2:$A$177,0)),"n/a")</f>
        <v>1</v>
      </c>
      <c r="E52" s="15">
        <f>IFERROR(INDEX('All Runs'!$O$2:$O$177,MATCH("nopre_meancos_p1024_s2|S1000D_spec_sample",'All Runs'!$A$2:$A$177,0)),"n/a")</f>
        <v>0.97619047619047605</v>
      </c>
    </row>
    <row r="53" spans="1:5" x14ac:dyDescent="0.2">
      <c r="A53" s="6" t="s">
        <v>533</v>
      </c>
      <c r="B53" s="21">
        <f>AVERAGE(B50:B52)</f>
        <v>0.56574074074074066</v>
      </c>
      <c r="C53" s="21">
        <f>AVERAGE(C50:C52)</f>
        <v>0.77777777777777768</v>
      </c>
      <c r="D53" s="21">
        <f>AVERAGE(D50:D52)</f>
        <v>0.91666666666666663</v>
      </c>
      <c r="E53" s="21">
        <f>AVERAGE(E50:E52)</f>
        <v>0.95634920634920639</v>
      </c>
    </row>
    <row r="54" spans="1:5" x14ac:dyDescent="0.2">
      <c r="A54" s="6" t="s">
        <v>534</v>
      </c>
      <c r="B54" s="15">
        <f>STDEV(B50:B52)</f>
        <v>5.6131276171214058E-2</v>
      </c>
      <c r="C54" s="15">
        <f>STDEV(C50:C52)</f>
        <v>9.6225044864937839E-2</v>
      </c>
      <c r="D54" s="15">
        <f>STDEV(D50:D52)</f>
        <v>0.14433756729740618</v>
      </c>
      <c r="E54" s="15">
        <f>STDEV(E50:E52)</f>
        <v>3.4366087451763186E-2</v>
      </c>
    </row>
  </sheetData>
  <phoneticPr fontId="8" type="noConversion"/>
  <conditionalFormatting sqref="B5:E8">
    <cfRule type="cellIs" dxfId="13" priority="2" operator="between">
      <formula>B$9-0.02</formula>
      <formula>B$9+0.02</formula>
    </cfRule>
    <cfRule type="cellIs" dxfId="12" priority="3" operator="greaterThan">
      <formula>B$9+0.05</formula>
    </cfRule>
  </conditionalFormatting>
  <conditionalFormatting sqref="B14:E17">
    <cfRule type="cellIs" dxfId="11" priority="34" operator="between">
      <formula>B$18-0.02</formula>
      <formula>B$18+0.02</formula>
    </cfRule>
    <cfRule type="cellIs" dxfId="10" priority="35" operator="greaterThan">
      <formula>B$18+0.05</formula>
    </cfRule>
  </conditionalFormatting>
  <conditionalFormatting sqref="B23:E26">
    <cfRule type="cellIs" dxfId="9" priority="66" operator="between">
      <formula>B$27-0.02</formula>
      <formula>B$27+0.02</formula>
    </cfRule>
    <cfRule type="cellIs" dxfId="8" priority="67" operator="greaterThan">
      <formula>B$27+0.05</formula>
    </cfRule>
  </conditionalFormatting>
  <conditionalFormatting sqref="B32:E35">
    <cfRule type="cellIs" dxfId="7" priority="98" operator="between">
      <formula>B$36-0.02</formula>
      <formula>B$36+0.02</formula>
    </cfRule>
    <cfRule type="cellIs" dxfId="6" priority="99" operator="greaterThan">
      <formula>B$36+0.05</formula>
    </cfRule>
  </conditionalFormatting>
  <conditionalFormatting sqref="B41:E44">
    <cfRule type="cellIs" dxfId="5" priority="130" operator="between">
      <formula>B$45-0.02</formula>
      <formula>B$45+0.02</formula>
    </cfRule>
    <cfRule type="cellIs" dxfId="4" priority="131" operator="greaterThan">
      <formula>B$45+0.05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zoomScaleNormal="100" workbookViewId="0">
      <pane xSplit="2" ySplit="4" topLeftCell="C19" activePane="bottomRight" state="frozen"/>
      <selection pane="topRight" activeCell="C1" sqref="C1"/>
      <selection pane="bottomLeft" activeCell="A5" sqref="A5"/>
      <selection pane="bottomRight" activeCell="E26" sqref="E26"/>
    </sheetView>
  </sheetViews>
  <sheetFormatPr baseColWidth="10" defaultColWidth="8.5" defaultRowHeight="15" x14ac:dyDescent="0.2"/>
  <cols>
    <col min="1" max="1" width="44" customWidth="1"/>
    <col min="2" max="2" width="30" customWidth="1"/>
    <col min="3" max="3" width="12" customWidth="1"/>
    <col min="4" max="4" width="7" customWidth="1"/>
    <col min="5" max="6" width="11" customWidth="1"/>
    <col min="7" max="7" width="14" customWidth="1"/>
    <col min="8" max="9" width="10" customWidth="1"/>
    <col min="10" max="10" width="14" customWidth="1"/>
  </cols>
  <sheetData>
    <row r="1" spans="1:10" ht="18" x14ac:dyDescent="0.2">
      <c r="A1" s="4" t="s">
        <v>535</v>
      </c>
    </row>
    <row r="2" spans="1:10" x14ac:dyDescent="0.2">
      <c r="A2" s="18" t="s">
        <v>536</v>
      </c>
    </row>
    <row r="4" spans="1:10" ht="28" x14ac:dyDescent="0.2">
      <c r="A4" s="8" t="s">
        <v>537</v>
      </c>
      <c r="B4" s="8" t="s">
        <v>75</v>
      </c>
      <c r="C4" s="8" t="s">
        <v>538</v>
      </c>
      <c r="D4" s="8" t="s">
        <v>76</v>
      </c>
      <c r="E4" s="8" t="s">
        <v>93</v>
      </c>
      <c r="F4" s="8" t="s">
        <v>94</v>
      </c>
      <c r="G4" s="8" t="s">
        <v>104</v>
      </c>
      <c r="H4" s="8" t="s">
        <v>533</v>
      </c>
      <c r="I4" s="8" t="s">
        <v>534</v>
      </c>
      <c r="J4" s="8" t="s">
        <v>539</v>
      </c>
    </row>
    <row r="5" spans="1:10" x14ac:dyDescent="0.2">
      <c r="A5" s="10" t="s">
        <v>540</v>
      </c>
      <c r="B5" s="10" t="s">
        <v>157</v>
      </c>
      <c r="C5" s="10" t="s">
        <v>97</v>
      </c>
      <c r="D5" s="10">
        <v>42</v>
      </c>
      <c r="E5" s="15">
        <f>IFERROR(INDEX('All Runs'!$O$2:$O$177,MATCH("t5_s42|BIKE_7_to_S1000D_spec_sample",'All Runs'!$A$2:$A$177,0)),"n/a")</f>
        <v>0.16706290703415899</v>
      </c>
      <c r="F5" s="15">
        <f>IFERROR(INDEX('All Runs'!$O$2:$O$177,MATCH("t5_s42|FOSSIG_to_S1000D_spec_sample",'All Runs'!$A$2:$A$177,0)),"n/a")</f>
        <v>0.20247593393878199</v>
      </c>
      <c r="G5" s="15">
        <f>IFERROR(INDEX('All Runs'!$O$2:$O$177,MATCH("t5_s42|s1kd-tools-doc_to_S1000D_spec_sample",'All Runs'!$A$2:$A$177,0)),"n/a")</f>
        <v>0.166577927740024</v>
      </c>
      <c r="H5" s="21">
        <f t="shared" ref="H5:H18" si="0">AVERAGE(E5:G5)</f>
        <v>0.17870558957098834</v>
      </c>
      <c r="I5" s="15">
        <f t="shared" ref="I5:I18" si="1">STDEV(E5:G5)</f>
        <v>2.0587150233860926E-2</v>
      </c>
      <c r="J5" s="15">
        <f>IFERROR(AVERAGE(INDEX('All Runs'!$M$2:$M$177,MATCH("t5_s42|BIKE_7_to_S1000D_spec_sample",'All Runs'!$A$2:$A$177,0)),INDEX('All Runs'!$M$2:$M$177,MATCH("t5_s42|FOSSIG_to_S1000D_spec_sample",'All Runs'!$A$2:$A$177,0)),INDEX('All Runs'!$M$2:$M$177,MATCH("t5_s42|s1kd-tools-doc_to_S1000D_spec_sample",'All Runs'!$A$2:$A$177,0))),"n/a")</f>
        <v>0.62731481481481477</v>
      </c>
    </row>
    <row r="6" spans="1:10" x14ac:dyDescent="0.2">
      <c r="A6" s="10" t="s">
        <v>541</v>
      </c>
      <c r="B6" s="10" t="s">
        <v>132</v>
      </c>
      <c r="C6" s="10" t="s">
        <v>97</v>
      </c>
      <c r="D6" s="10">
        <v>42</v>
      </c>
      <c r="E6" s="15">
        <f>IFERROR(INDEX('All Runs'!$O$2:$O$177,MATCH("codet5_s42|BIKE_7_to_S1000D_spec_sample",'All Runs'!$A$2:$A$177,0)),"n/a")</f>
        <v>0.17765124595619999</v>
      </c>
      <c r="F6" s="15">
        <f>IFERROR(INDEX('All Runs'!$O$2:$O$177,MATCH("codet5_s42|FOSSIG_to_S1000D_spec_sample",'All Runs'!$A$2:$A$177,0)),"n/a")</f>
        <v>0.163102170692839</v>
      </c>
      <c r="G6" s="15">
        <f>IFERROR(INDEX('All Runs'!$O$2:$O$177,MATCH("codet5_s42|s1kd-tools-doc_to_S1000D_spec_sample",'All Runs'!$A$2:$A$177,0)),"n/a")</f>
        <v>0.16955163184154801</v>
      </c>
      <c r="H6" s="21">
        <f t="shared" si="0"/>
        <v>0.17010168283019567</v>
      </c>
      <c r="I6" s="15">
        <f t="shared" si="1"/>
        <v>7.2901176137508163E-3</v>
      </c>
      <c r="J6" s="15">
        <f>IFERROR(AVERAGE(INDEX('All Runs'!$M$2:$M$177,MATCH("codet5_s42|BIKE_7_to_S1000D_spec_sample",'All Runs'!$A$2:$A$177,0)),INDEX('All Runs'!$M$2:$M$177,MATCH("codet5_s42|FOSSIG_to_S1000D_spec_sample",'All Runs'!$A$2:$A$177,0)),INDEX('All Runs'!$M$2:$M$177,MATCH("codet5_s42|s1kd-tools-doc_to_S1000D_spec_sample",'All Runs'!$A$2:$A$177,0))),"n/a")</f>
        <v>0.62731481481481477</v>
      </c>
    </row>
    <row r="7" spans="1:10" x14ac:dyDescent="0.2">
      <c r="A7" s="10" t="s">
        <v>542</v>
      </c>
      <c r="B7" s="10" t="s">
        <v>125</v>
      </c>
      <c r="C7" s="10" t="s">
        <v>97</v>
      </c>
      <c r="D7" s="10">
        <v>42</v>
      </c>
      <c r="E7" s="15">
        <f>IFERROR(INDEX('All Runs'!$O$2:$O$177,MATCH("cnt_p256_s42|BIKE_7_to_S1000D_spec_sample",'All Runs'!$A$2:$A$177,0)),"n/a")</f>
        <v>0.17765124595619999</v>
      </c>
      <c r="F7" s="15">
        <f>IFERROR(INDEX('All Runs'!$O$2:$O$177,MATCH("cnt_p256_s42|FOSSIG_to_S1000D_spec_sample",'All Runs'!$A$2:$A$177,0)),"n/a")</f>
        <v>0.163102170692839</v>
      </c>
      <c r="G7" s="15">
        <f>IFERROR(INDEX('All Runs'!$O$2:$O$177,MATCH("cnt_p256_s42|s1kd-tools-doc_to_S1000D_spec_sample",'All Runs'!$A$2:$A$177,0)),"n/a")</f>
        <v>0.16955163184154801</v>
      </c>
      <c r="H7" s="21">
        <f t="shared" si="0"/>
        <v>0.17010168283019567</v>
      </c>
      <c r="I7" s="15">
        <f t="shared" si="1"/>
        <v>7.2901176137508163E-3</v>
      </c>
      <c r="J7" s="15">
        <f>IFERROR(AVERAGE(INDEX('All Runs'!$M$2:$M$177,MATCH("cnt_p256_s42|BIKE_7_to_S1000D_spec_sample",'All Runs'!$A$2:$A$177,0)),INDEX('All Runs'!$M$2:$M$177,MATCH("cnt_p256_s42|FOSSIG_to_S1000D_spec_sample",'All Runs'!$A$2:$A$177,0)),INDEX('All Runs'!$M$2:$M$177,MATCH("cnt_p256_s42|s1kd-tools-doc_to_S1000D_spec_sample",'All Runs'!$A$2:$A$177,0))),"n/a")</f>
        <v>0.62731481481481477</v>
      </c>
    </row>
    <row r="8" spans="1:10" x14ac:dyDescent="0.2">
      <c r="A8" s="10" t="s">
        <v>543</v>
      </c>
      <c r="B8" s="10" t="s">
        <v>92</v>
      </c>
      <c r="C8" s="10" t="s">
        <v>97</v>
      </c>
      <c r="D8" s="10">
        <v>42</v>
      </c>
      <c r="E8" s="15">
        <f>IFERROR(INDEX('All Runs'!$O$2:$O$177,MATCH("cnt_p1024_s42|BIKE_7_to_S1000D_spec_sample",'All Runs'!$A$2:$A$177,0)),"n/a")</f>
        <v>0.153758405991931</v>
      </c>
      <c r="F8" s="15">
        <f>IFERROR(INDEX('All Runs'!$O$2:$O$177,MATCH("cnt_p1024_s42|FOSSIG_to_S1000D_spec_sample",'All Runs'!$A$2:$A$177,0)),"n/a")</f>
        <v>0.19756523821649899</v>
      </c>
      <c r="G8" s="15">
        <f>IFERROR(INDEX('All Runs'!$O$2:$O$177,MATCH("cnt_p1024_s42|s1kd-tools-doc_to_S1000D_spec_sample",'All Runs'!$A$2:$A$177,0)),"n/a")</f>
        <v>0.17556276773990201</v>
      </c>
      <c r="H8" s="21">
        <f t="shared" si="0"/>
        <v>0.17562880398277733</v>
      </c>
      <c r="I8" s="15">
        <f t="shared" si="1"/>
        <v>2.1903490771493561E-2</v>
      </c>
      <c r="J8" s="15">
        <f>IFERROR(AVERAGE(INDEX('All Runs'!$M$2:$M$177,MATCH("cnt_p1024_s42|BIKE_7_to_S1000D_spec_sample",'All Runs'!$A$2:$A$177,0)),INDEX('All Runs'!$M$2:$M$177,MATCH("cnt_p1024_s42|FOSSIG_to_S1000D_spec_sample",'All Runs'!$A$2:$A$177,0)),INDEX('All Runs'!$M$2:$M$177,MATCH("cnt_p1024_s42|s1kd-tools-doc_to_S1000D_spec_sample",'All Runs'!$A$2:$A$177,0))),"n/a")</f>
        <v>0.62731481481481477</v>
      </c>
    </row>
    <row r="9" spans="1:10" x14ac:dyDescent="0.2">
      <c r="A9" s="10" t="s">
        <v>544</v>
      </c>
      <c r="B9" s="10" t="s">
        <v>245</v>
      </c>
      <c r="C9" s="10" t="s">
        <v>97</v>
      </c>
      <c r="D9" s="10">
        <v>42</v>
      </c>
      <c r="E9" s="15">
        <f>IFERROR(INDEX('All Runs'!$O$2:$O$177,MATCH("fixB_meandot_p1024_s42|BIKE_7_to_S1000D_spec_sample",'All Runs'!$A$2:$A$177,0)),"n/a")</f>
        <v>0.85600907029478501</v>
      </c>
      <c r="F9" s="15">
        <f>IFERROR(INDEX('All Runs'!$O$2:$O$177,MATCH("fixB_meandot_p1024_s42|FOSSIG_to_S1000D_spec_sample",'All Runs'!$A$2:$A$177,0)),"n/a")</f>
        <v>0.84761904761904805</v>
      </c>
      <c r="G9" s="15">
        <f>IFERROR(INDEX('All Runs'!$O$2:$O$177,MATCH("fixB_meandot_p1024_s42|s1kd-tools-doc_to_S1000D_spec_sample",'All Runs'!$A$2:$A$177,0)),"n/a")</f>
        <v>0.92063492063492103</v>
      </c>
      <c r="H9" s="21">
        <f t="shared" si="0"/>
        <v>0.87475434618291803</v>
      </c>
      <c r="I9" s="15">
        <f t="shared" si="1"/>
        <v>3.9954579889659558E-2</v>
      </c>
      <c r="J9" s="15">
        <f>IFERROR(AVERAGE(INDEX('All Runs'!$M$2:$M$177,MATCH("fixB_meandot_p1024_s42|BIKE_7_to_S1000D_spec_sample",'All Runs'!$A$2:$A$177,0)),INDEX('All Runs'!$M$2:$M$177,MATCH("fixB_meandot_p1024_s42|FOSSIG_to_S1000D_spec_sample",'All Runs'!$A$2:$A$177,0)),INDEX('All Runs'!$M$2:$M$177,MATCH("fixB_meandot_p1024_s42|s1kd-tools-doc_to_S1000D_spec_sample",'All Runs'!$A$2:$A$177,0))),"n/a")</f>
        <v>0.68981481481481477</v>
      </c>
    </row>
    <row r="10" spans="1:10" x14ac:dyDescent="0.2">
      <c r="A10" s="10" t="s">
        <v>545</v>
      </c>
      <c r="B10" s="10" t="s">
        <v>253</v>
      </c>
      <c r="C10" s="10" t="s">
        <v>97</v>
      </c>
      <c r="D10" s="10">
        <v>42</v>
      </c>
      <c r="E10" s="15">
        <f>IFERROR(INDEX('All Runs'!$O$2:$O$177,MATCH("fixC_meancos_p256_s42|BIKE_7_to_S1000D_spec_sample",'All Runs'!$A$2:$A$177,0)),"n/a")</f>
        <v>0.53849206349206402</v>
      </c>
      <c r="F10" s="15">
        <f>IFERROR(INDEX('All Runs'!$O$2:$O$177,MATCH("fixC_meancos_p256_s42|FOSSIG_to_S1000D_spec_sample",'All Runs'!$A$2:$A$177,0)),"n/a")</f>
        <v>0.59232804232804204</v>
      </c>
      <c r="G10" s="15">
        <f>IFERROR(INDEX('All Runs'!$O$2:$O$177,MATCH("fixC_meancos_p256_s42|s1kd-tools-doc_to_S1000D_spec_sample",'All Runs'!$A$2:$A$177,0)),"n/a")</f>
        <v>0.54814814814814805</v>
      </c>
      <c r="H10" s="21">
        <f t="shared" si="0"/>
        <v>0.55965608465608463</v>
      </c>
      <c r="I10" s="15">
        <f t="shared" si="1"/>
        <v>2.870370370370336E-2</v>
      </c>
      <c r="J10" s="15">
        <f>IFERROR(AVERAGE(INDEX('All Runs'!$M$2:$M$177,MATCH("fixC_meancos_p256_s42|BIKE_7_to_S1000D_spec_sample",'All Runs'!$A$2:$A$177,0)),INDEX('All Runs'!$M$2:$M$177,MATCH("fixC_meancos_p256_s42|FOSSIG_to_S1000D_spec_sample",'All Runs'!$A$2:$A$177,0)),INDEX('All Runs'!$M$2:$M$177,MATCH("fixC_meancos_p256_s42|s1kd-tools-doc_to_S1000D_spec_sample",'All Runs'!$A$2:$A$177,0))),"n/a")</f>
        <v>0.77777777777777768</v>
      </c>
    </row>
    <row r="11" spans="1:10" x14ac:dyDescent="0.2">
      <c r="A11" s="10" t="s">
        <v>546</v>
      </c>
      <c r="B11" s="10" t="s">
        <v>238</v>
      </c>
      <c r="C11" s="10" t="s">
        <v>97</v>
      </c>
      <c r="D11" s="10">
        <v>42</v>
      </c>
      <c r="E11" s="15">
        <f>IFERROR(INDEX('All Runs'!$O$2:$O$177,MATCH("fixA_meancos_p1024_s42|BIKE_7_to_S1000D_spec_sample",'All Runs'!$A$2:$A$177,0)),"n/a")</f>
        <v>0.898412698412698</v>
      </c>
      <c r="F11" s="15">
        <f>IFERROR(INDEX('All Runs'!$O$2:$O$177,MATCH("fixA_meancos_p1024_s42|FOSSIG_to_S1000D_spec_sample",'All Runs'!$A$2:$A$177,0)),"n/a")</f>
        <v>0.92857142857142905</v>
      </c>
      <c r="G11" s="15">
        <f>IFERROR(INDEX('All Runs'!$O$2:$O$177,MATCH("fixA_meancos_p1024_s42|s1kd-tools-doc_to_S1000D_spec_sample",'All Runs'!$A$2:$A$177,0)),"n/a")</f>
        <v>0.952380952380952</v>
      </c>
      <c r="H11" s="21">
        <f t="shared" si="0"/>
        <v>0.92645502645502642</v>
      </c>
      <c r="I11" s="15">
        <f t="shared" si="1"/>
        <v>2.7046302474353613E-2</v>
      </c>
      <c r="J11" s="15">
        <f>IFERROR(AVERAGE(INDEX('All Runs'!$M$2:$M$177,MATCH("fixA_meancos_p1024_s42|BIKE_7_to_S1000D_spec_sample",'All Runs'!$A$2:$A$177,0)),INDEX('All Runs'!$M$2:$M$177,MATCH("fixA_meancos_p1024_s42|FOSSIG_to_S1000D_spec_sample",'All Runs'!$A$2:$A$177,0)),INDEX('All Runs'!$M$2:$M$177,MATCH("fixA_meancos_p1024_s42|s1kd-tools-doc_to_S1000D_spec_sample",'All Runs'!$A$2:$A$177,0))),"n/a")</f>
        <v>0.68981481481481477</v>
      </c>
    </row>
    <row r="12" spans="1:10" x14ac:dyDescent="0.2">
      <c r="A12" s="10" t="s">
        <v>546</v>
      </c>
      <c r="B12" s="10" t="s">
        <v>223</v>
      </c>
      <c r="C12" s="10" t="s">
        <v>97</v>
      </c>
      <c r="D12" s="10">
        <v>1</v>
      </c>
      <c r="E12" s="15">
        <f>IFERROR(INDEX('All Runs'!$O$2:$O$177,MATCH("fixA_meancos_p1024_s1|BIKE_7_to_S1000D_spec_sample",'All Runs'!$A$2:$A$177,0)),"n/a")</f>
        <v>0.85317460317460303</v>
      </c>
      <c r="F12" s="15">
        <f>IFERROR(INDEX('All Runs'!$O$2:$O$177,MATCH("fixA_meancos_p1024_s1|FOSSIG_to_S1000D_spec_sample",'All Runs'!$A$2:$A$177,0)),"n/a")</f>
        <v>0.97619047619047605</v>
      </c>
      <c r="G12" s="15">
        <f>IFERROR(INDEX('All Runs'!$O$2:$O$177,MATCH("fixA_meancos_p1024_s1|s1kd-tools-doc_to_S1000D_spec_sample",'All Runs'!$A$2:$A$177,0)),"n/a")</f>
        <v>0.97619047619047605</v>
      </c>
      <c r="H12" s="21">
        <f t="shared" si="0"/>
        <v>0.93518518518518512</v>
      </c>
      <c r="I12" s="15">
        <f t="shared" si="1"/>
        <v>7.1023247400311115E-2</v>
      </c>
      <c r="J12" s="15">
        <f>IFERROR(AVERAGE(INDEX('All Runs'!$M$2:$M$177,MATCH("fixA_meancos_p1024_s1|BIKE_7_to_S1000D_spec_sample",'All Runs'!$A$2:$A$177,0)),INDEX('All Runs'!$M$2:$M$177,MATCH("fixA_meancos_p1024_s1|FOSSIG_to_S1000D_spec_sample",'All Runs'!$A$2:$A$177,0)),INDEX('All Runs'!$M$2:$M$177,MATCH("fixA_meancos_p1024_s1|s1kd-tools-doc_to_S1000D_spec_sample",'All Runs'!$A$2:$A$177,0))),"n/a")</f>
        <v>0.82870370370370372</v>
      </c>
    </row>
    <row r="13" spans="1:10" x14ac:dyDescent="0.2">
      <c r="A13" s="10" t="s">
        <v>546</v>
      </c>
      <c r="B13" s="10" t="s">
        <v>231</v>
      </c>
      <c r="C13" s="10" t="s">
        <v>97</v>
      </c>
      <c r="D13" s="10">
        <v>2</v>
      </c>
      <c r="E13" s="15">
        <f>IFERROR(INDEX('All Runs'!$O$2:$O$177,MATCH("fixA_meancos_p1024_s2|BIKE_7_to_S1000D_spec_sample",'All Runs'!$A$2:$A$177,0)),"n/a")</f>
        <v>0.79920634920634903</v>
      </c>
      <c r="F13" s="15">
        <f>IFERROR(INDEX('All Runs'!$O$2:$O$177,MATCH("fixA_meancos_p1024_s2|FOSSIG_to_S1000D_spec_sample",'All Runs'!$A$2:$A$177,0)),"n/a")</f>
        <v>0.952380952380952</v>
      </c>
      <c r="G13" s="15">
        <f>IFERROR(INDEX('All Runs'!$O$2:$O$177,MATCH("fixA_meancos_p1024_s2|s1kd-tools-doc_to_S1000D_spec_sample",'All Runs'!$A$2:$A$177,0)),"n/a")</f>
        <v>0.91269841269841301</v>
      </c>
      <c r="H13" s="21">
        <f t="shared" si="0"/>
        <v>0.88809523809523805</v>
      </c>
      <c r="I13" s="15">
        <f t="shared" si="1"/>
        <v>7.9495923888209558E-2</v>
      </c>
      <c r="J13" s="15">
        <f>IFERROR(AVERAGE(INDEX('All Runs'!$M$2:$M$177,MATCH("fixA_meancos_p1024_s2|BIKE_7_to_S1000D_spec_sample",'All Runs'!$A$2:$A$177,0)),INDEX('All Runs'!$M$2:$M$177,MATCH("fixA_meancos_p1024_s2|FOSSIG_to_S1000D_spec_sample",'All Runs'!$A$2:$A$177,0)),INDEX('All Runs'!$M$2:$M$177,MATCH("fixA_meancos_p1024_s2|s1kd-tools-doc_to_S1000D_spec_sample",'All Runs'!$A$2:$A$177,0))),"n/a")</f>
        <v>0.74537037037037035</v>
      </c>
    </row>
    <row r="14" spans="1:10" x14ac:dyDescent="0.2">
      <c r="A14" s="10" t="s">
        <v>547</v>
      </c>
      <c r="B14" s="10" t="s">
        <v>387</v>
      </c>
      <c r="C14" s="10" t="s">
        <v>97</v>
      </c>
      <c r="D14" s="10">
        <v>42</v>
      </c>
      <c r="E14" s="15">
        <f>IFERROR(INDEX('All Runs'!$O$2:$O$177,MATCH("mepablate_s42|BIKE_7_to_S1000D_spec_sample",'All Runs'!$A$2:$A$177,0)),"n/a")</f>
        <v>0.83333333333333304</v>
      </c>
      <c r="F14" s="15">
        <f>IFERROR(INDEX('All Runs'!$O$2:$O$177,MATCH("mepablate_s42|FOSSIG_to_S1000D_spec_sample",'All Runs'!$A$2:$A$177,0)),"n/a")</f>
        <v>0.92857142857142905</v>
      </c>
      <c r="G14" s="15">
        <f>IFERROR(INDEX('All Runs'!$O$2:$O$177,MATCH("mepablate_s42|s1kd-tools-doc_to_S1000D_spec_sample",'All Runs'!$A$2:$A$177,0)),"n/a")</f>
        <v>0.89682539682539697</v>
      </c>
      <c r="H14" s="21">
        <f t="shared" si="0"/>
        <v>0.88624338624338639</v>
      </c>
      <c r="I14" s="15">
        <f t="shared" si="1"/>
        <v>4.8492864496887583E-2</v>
      </c>
      <c r="J14" s="15">
        <f>IFERROR(AVERAGE(INDEX('All Runs'!$M$2:$M$177,MATCH("mepablate_s42|BIKE_7_to_S1000D_spec_sample",'All Runs'!$A$2:$A$177,0)),INDEX('All Runs'!$M$2:$M$177,MATCH("mepablate_s42|FOSSIG_to_S1000D_spec_sample",'All Runs'!$A$2:$A$177,0)),INDEX('All Runs'!$M$2:$M$177,MATCH("mepablate_s42|s1kd-tools-doc_to_S1000D_spec_sample",'All Runs'!$A$2:$A$177,0))),"n/a")</f>
        <v>0.68518518518518545</v>
      </c>
    </row>
    <row r="15" spans="1:10" x14ac:dyDescent="0.2">
      <c r="A15" s="10" t="s">
        <v>548</v>
      </c>
      <c r="B15" s="10" t="s">
        <v>379</v>
      </c>
      <c r="C15" s="10" t="s">
        <v>97</v>
      </c>
      <c r="D15" s="10">
        <v>42</v>
      </c>
      <c r="E15" s="15">
        <f>IFERROR(INDEX('All Runs'!$O$2:$O$177,MATCH("longpretrain100_s42|BIKE_7_to_S1000D_spec_sample",'All Runs'!$A$2:$A$177,0)),"n/a")</f>
        <v>0.87301587301587302</v>
      </c>
      <c r="F15" s="15">
        <f>IFERROR(INDEX('All Runs'!$O$2:$O$177,MATCH("longpretrain100_s42|FOSSIG_to_S1000D_spec_sample",'All Runs'!$A$2:$A$177,0)),"n/a")</f>
        <v>0.85714285714285698</v>
      </c>
      <c r="G15" s="15">
        <f>IFERROR(INDEX('All Runs'!$O$2:$O$177,MATCH("longpretrain100_s42|s1kd-tools-doc_to_S1000D_spec_sample",'All Runs'!$A$2:$A$177,0)),"n/a")</f>
        <v>0.94444444444444398</v>
      </c>
      <c r="H15" s="21">
        <f t="shared" si="0"/>
        <v>0.89153439153439129</v>
      </c>
      <c r="I15" s="15">
        <f t="shared" si="1"/>
        <v>4.650369267525626E-2</v>
      </c>
      <c r="J15" s="15">
        <f>IFERROR(AVERAGE(INDEX('All Runs'!$M$2:$M$177,MATCH("longpretrain100_s42|BIKE_7_to_S1000D_spec_sample",'All Runs'!$A$2:$A$177,0)),INDEX('All Runs'!$M$2:$M$177,MATCH("longpretrain100_s42|FOSSIG_to_S1000D_spec_sample",'All Runs'!$A$2:$A$177,0)),INDEX('All Runs'!$M$2:$M$177,MATCH("longpretrain100_s42|s1kd-tools-doc_to_S1000D_spec_sample",'All Runs'!$A$2:$A$177,0))),"n/a")</f>
        <v>0.68055555555555569</v>
      </c>
    </row>
    <row r="16" spans="1:10" x14ac:dyDescent="0.2">
      <c r="A16" s="10" t="s">
        <v>549</v>
      </c>
      <c r="B16" s="10" t="s">
        <v>314</v>
      </c>
      <c r="C16" s="10" t="s">
        <v>300</v>
      </c>
      <c r="D16" s="10">
        <v>42</v>
      </c>
      <c r="E16" s="15">
        <f>IFERROR(INDEX('All Runs'!$O$2:$O$177,MATCH("anonq_meancos_p1024_s42|BIKE_7_to_S1000D_spec_sample",'All Runs'!$A$2:$A$177,0)),"n/a")</f>
        <v>0.89682539682539697</v>
      </c>
      <c r="F16" s="15">
        <f>IFERROR(INDEX('All Runs'!$O$2:$O$177,MATCH("anonq_meancos_p1024_s42|FOSSIG_to_S1000D_spec_sample",'All Runs'!$A$2:$A$177,0)),"n/a")</f>
        <v>0.952380952380952</v>
      </c>
      <c r="G16" s="15">
        <f>IFERROR(INDEX('All Runs'!$O$2:$O$177,MATCH("anonq_meancos_p1024_s42|s1kd-tools-doc_to_S1000D_spec_sample",'All Runs'!$A$2:$A$177,0)),"n/a")</f>
        <v>0.84126984126984095</v>
      </c>
      <c r="H16" s="21">
        <f t="shared" si="0"/>
        <v>0.89682539682539664</v>
      </c>
      <c r="I16" s="15">
        <f t="shared" si="1"/>
        <v>5.5555555555555525E-2</v>
      </c>
      <c r="J16" s="15">
        <f>IFERROR(AVERAGE(INDEX('All Runs'!$M$2:$M$177,MATCH("anonq_meancos_p1024_s42|BIKE_7_to_S1000D_spec_sample",'All Runs'!$A$2:$A$177,0)),INDEX('All Runs'!$M$2:$M$177,MATCH("anonq_meancos_p1024_s42|FOSSIG_to_S1000D_spec_sample",'All Runs'!$A$2:$A$177,0)),INDEX('All Runs'!$M$2:$M$177,MATCH("anonq_meancos_p1024_s42|s1kd-tools-doc_to_S1000D_spec_sample",'All Runs'!$A$2:$A$177,0))),"n/a")</f>
        <v>0.72685185185185208</v>
      </c>
    </row>
    <row r="17" spans="1:10" x14ac:dyDescent="0.2">
      <c r="A17" s="10" t="s">
        <v>549</v>
      </c>
      <c r="B17" s="10" t="s">
        <v>299</v>
      </c>
      <c r="C17" s="10" t="s">
        <v>300</v>
      </c>
      <c r="D17" s="10">
        <v>1</v>
      </c>
      <c r="E17" s="15">
        <f>IFERROR(INDEX('All Runs'!$O$2:$O$177,MATCH("anonq_meancos_p1024_s1|BIKE_7_to_S1000D_spec_sample",'All Runs'!$A$2:$A$177,0)),"n/a")</f>
        <v>0.89285714285714302</v>
      </c>
      <c r="F17" s="15">
        <f>IFERROR(INDEX('All Runs'!$O$2:$O$177,MATCH("anonq_meancos_p1024_s1|FOSSIG_to_S1000D_spec_sample",'All Runs'!$A$2:$A$177,0)),"n/a")</f>
        <v>0.82539682539682502</v>
      </c>
      <c r="G17" s="15">
        <f>IFERROR(INDEX('All Runs'!$O$2:$O$177,MATCH("anonq_meancos_p1024_s1|s1kd-tools-doc_to_S1000D_spec_sample",'All Runs'!$A$2:$A$177,0)),"n/a")</f>
        <v>0.84920634920634896</v>
      </c>
      <c r="H17" s="21">
        <f t="shared" si="0"/>
        <v>0.85582010582010559</v>
      </c>
      <c r="I17" s="15">
        <f t="shared" si="1"/>
        <v>3.4213008350205472E-2</v>
      </c>
      <c r="J17" s="15">
        <f>IFERROR(AVERAGE(INDEX('All Runs'!$M$2:$M$177,MATCH("anonq_meancos_p1024_s1|BIKE_7_to_S1000D_spec_sample",'All Runs'!$A$2:$A$177,0)),INDEX('All Runs'!$M$2:$M$177,MATCH("anonq_meancos_p1024_s1|FOSSIG_to_S1000D_spec_sample",'All Runs'!$A$2:$A$177,0)),INDEX('All Runs'!$M$2:$M$177,MATCH("anonq_meancos_p1024_s1|s1kd-tools-doc_to_S1000D_spec_sample",'All Runs'!$A$2:$A$177,0))),"n/a")</f>
        <v>0.74537037037037035</v>
      </c>
    </row>
    <row r="18" spans="1:10" x14ac:dyDescent="0.2">
      <c r="A18" s="10" t="s">
        <v>549</v>
      </c>
      <c r="B18" s="10" t="s">
        <v>307</v>
      </c>
      <c r="C18" s="10" t="s">
        <v>300</v>
      </c>
      <c r="D18" s="10">
        <v>2</v>
      </c>
      <c r="E18" s="15">
        <f>IFERROR(INDEX('All Runs'!$O$2:$O$177,MATCH("anonq_meancos_p1024_s2|BIKE_7_to_S1000D_spec_sample",'All Runs'!$A$2:$A$177,0)),"n/a")</f>
        <v>0.90238095238095195</v>
      </c>
      <c r="F18" s="15">
        <f>IFERROR(INDEX('All Runs'!$O$2:$O$177,MATCH("anonq_meancos_p1024_s2|FOSSIG_to_S1000D_spec_sample",'All Runs'!$A$2:$A$177,0)),"n/a")</f>
        <v>0.83333333333333304</v>
      </c>
      <c r="G18" s="15">
        <f>IFERROR(INDEX('All Runs'!$O$2:$O$177,MATCH("anonq_meancos_p1024_s2|s1kd-tools-doc_to_S1000D_spec_sample",'All Runs'!$A$2:$A$177,0)),"n/a")</f>
        <v>0.80158730158730196</v>
      </c>
      <c r="H18" s="21">
        <f t="shared" si="0"/>
        <v>0.84576719576719561</v>
      </c>
      <c r="I18" s="15">
        <f t="shared" si="1"/>
        <v>5.1534364373165886E-2</v>
      </c>
      <c r="J18" s="15">
        <f>IFERROR(AVERAGE(INDEX('All Runs'!$M$2:$M$177,MATCH("anonq_meancos_p1024_s2|BIKE_7_to_S1000D_spec_sample",'All Runs'!$A$2:$A$177,0)),INDEX('All Runs'!$M$2:$M$177,MATCH("anonq_meancos_p1024_s2|FOSSIG_to_S1000D_spec_sample",'All Runs'!$A$2:$A$177,0)),INDEX('All Runs'!$M$2:$M$177,MATCH("anonq_meancos_p1024_s2|s1kd-tools-doc_to_S1000D_spec_sample",'All Runs'!$A$2:$A$177,0))),"n/a")</f>
        <v>0.60185185185185197</v>
      </c>
    </row>
    <row r="20" spans="1:10" x14ac:dyDescent="0.2">
      <c r="A20" s="5" t="s">
        <v>550</v>
      </c>
    </row>
    <row r="21" spans="1:10" ht="28" x14ac:dyDescent="0.2">
      <c r="A21" s="8" t="s">
        <v>537</v>
      </c>
      <c r="B21" s="8" t="s">
        <v>75</v>
      </c>
      <c r="C21" s="8" t="s">
        <v>538</v>
      </c>
      <c r="D21" s="8" t="s">
        <v>76</v>
      </c>
      <c r="E21" s="8" t="s">
        <v>86</v>
      </c>
      <c r="F21" s="8" t="s">
        <v>85</v>
      </c>
    </row>
    <row r="22" spans="1:10" x14ac:dyDescent="0.2">
      <c r="A22" s="10" t="s">
        <v>551</v>
      </c>
      <c r="B22" s="10" t="s">
        <v>296</v>
      </c>
      <c r="C22" s="10" t="s">
        <v>97</v>
      </c>
      <c r="D22" s="10">
        <v>42</v>
      </c>
      <c r="E22" s="15">
        <f>IFERROR(INDEX('All Runs'!$O$2:$O$177,MATCH("nopre_meancos_p1024_s42|S1000D_spec_sample",'All Runs'!$A$2:$A$177,0)),"n/a")</f>
        <v>0.91666666666666696</v>
      </c>
      <c r="F22" s="15">
        <f>IFERROR(INDEX('All Runs'!$N$2:$N$177,MATCH("nopre_meancos_p1024_s42|S1000D_spec_sample",'All Runs'!$A$2:$A$177,0)),"n/a")</f>
        <v>0.91071428571428603</v>
      </c>
    </row>
    <row r="23" spans="1:10" x14ac:dyDescent="0.2">
      <c r="A23" s="10" t="s">
        <v>551</v>
      </c>
      <c r="B23" s="10" t="s">
        <v>283</v>
      </c>
      <c r="C23" s="10" t="s">
        <v>97</v>
      </c>
      <c r="D23" s="10">
        <v>1</v>
      </c>
      <c r="E23" s="15">
        <f>IFERROR(INDEX('All Runs'!$O$2:$O$177,MATCH("nopre_meancos_p1024_s1|S1000D_spec_sample",'All Runs'!$A$2:$A$177,0)),"n/a")</f>
        <v>0.97619047619047605</v>
      </c>
      <c r="F23" s="15">
        <f>IFERROR(INDEX('All Runs'!$N$2:$N$177,MATCH("nopre_meancos_p1024_s1|S1000D_spec_sample",'All Runs'!$A$2:$A$177,0)),"n/a")</f>
        <v>0.94642857142857095</v>
      </c>
    </row>
    <row r="24" spans="1:10" x14ac:dyDescent="0.2">
      <c r="A24" s="10" t="s">
        <v>551</v>
      </c>
      <c r="B24" s="10" t="s">
        <v>287</v>
      </c>
      <c r="C24" s="10" t="s">
        <v>97</v>
      </c>
      <c r="D24" s="10">
        <v>2</v>
      </c>
      <c r="E24" s="15">
        <f>IFERROR(INDEX('All Runs'!$O$2:$O$177,MATCH("nopre_meancos_p1024_s2|S1000D_spec_sample",'All Runs'!$A$2:$A$177,0)),"n/a")</f>
        <v>0.97619047619047605</v>
      </c>
      <c r="F24" s="15">
        <f>IFERROR(INDEX('All Runs'!$N$2:$N$177,MATCH("nopre_meancos_p1024_s2|S1000D_spec_sample",'All Runs'!$A$2:$A$177,0)),"n/a")</f>
        <v>0.91071428571428603</v>
      </c>
    </row>
    <row r="25" spans="1:10" x14ac:dyDescent="0.2">
      <c r="A25" s="10" t="s">
        <v>551</v>
      </c>
      <c r="B25" s="10" t="s">
        <v>290</v>
      </c>
      <c r="C25" s="10" t="s">
        <v>97</v>
      </c>
      <c r="D25" s="10">
        <v>3</v>
      </c>
      <c r="E25" s="15">
        <f>IFERROR(INDEX('All Runs'!$O$2:$O$177,MATCH("nopre_meancos_p1024_s3|S1000D_spec_sample",'All Runs'!$A$2:$A$177,0)),"n/a")</f>
        <v>0.88095238095238104</v>
      </c>
      <c r="F25" s="15">
        <f>IFERROR(INDEX('All Runs'!$N$2:$N$177,MATCH("nopre_meancos_p1024_s3|S1000D_spec_sample",'All Runs'!$A$2:$A$177,0)),"n/a")</f>
        <v>0.871428571428571</v>
      </c>
    </row>
    <row r="26" spans="1:10" x14ac:dyDescent="0.2">
      <c r="A26" s="10" t="s">
        <v>551</v>
      </c>
      <c r="B26" s="10" t="s">
        <v>293</v>
      </c>
      <c r="C26" s="10" t="s">
        <v>97</v>
      </c>
      <c r="D26" s="10">
        <v>4</v>
      </c>
      <c r="E26" s="15">
        <f>IFERROR(INDEX('All Runs'!$O$2:$O$177,MATCH("nopre_meancos_p1024_s4|S1000D_spec_sample",'All Runs'!$A$2:$A$177,0)),"n/a")</f>
        <v>0.952380952380952</v>
      </c>
      <c r="F26" s="15">
        <f>IFERROR(INDEX('All Runs'!$N$2:$N$177,MATCH("nopre_meancos_p1024_s4|S1000D_spec_sample",'All Runs'!$A$2:$A$177,0)),"n/a")</f>
        <v>0.89880952380952395</v>
      </c>
    </row>
    <row r="27" spans="1:10" x14ac:dyDescent="0.2">
      <c r="A27" s="10" t="s">
        <v>551</v>
      </c>
      <c r="B27" s="10" t="s">
        <v>327</v>
      </c>
      <c r="C27" s="10" t="s">
        <v>300</v>
      </c>
      <c r="D27" s="10">
        <v>42</v>
      </c>
      <c r="E27" s="15">
        <f>IFERROR(INDEX('All Runs'!$O$2:$O$177,MATCH("anonq_nopre_meancos_p1024_s42|S1000D_spec_sample",'All Runs'!$A$2:$A$177,0)),"n/a")</f>
        <v>0.90476190476190499</v>
      </c>
      <c r="F27" s="15">
        <f>IFERROR(INDEX('All Runs'!$N$2:$N$177,MATCH("anonq_nopre_meancos_p1024_s42|S1000D_spec_sample",'All Runs'!$A$2:$A$177,0)),"n/a")</f>
        <v>0.84523809523809501</v>
      </c>
    </row>
    <row r="28" spans="1:10" x14ac:dyDescent="0.2">
      <c r="A28" s="10" t="s">
        <v>551</v>
      </c>
      <c r="B28" s="10" t="s">
        <v>321</v>
      </c>
      <c r="C28" s="10" t="s">
        <v>300</v>
      </c>
      <c r="D28" s="10">
        <v>1</v>
      </c>
      <c r="E28" s="15">
        <f>IFERROR(INDEX('All Runs'!$O$2:$O$177,MATCH("anonq_nopre_meancos_p1024_s1|S1000D_spec_sample",'All Runs'!$A$2:$A$177,0)),"n/a")</f>
        <v>0.82539682539682502</v>
      </c>
      <c r="F28" s="15">
        <f>IFERROR(INDEX('All Runs'!$N$2:$N$177,MATCH("anonq_nopre_meancos_p1024_s1|S1000D_spec_sample",'All Runs'!$A$2:$A$177,0)),"n/a")</f>
        <v>0.84523809523809501</v>
      </c>
    </row>
    <row r="29" spans="1:10" x14ac:dyDescent="0.2">
      <c r="A29" s="10" t="s">
        <v>551</v>
      </c>
      <c r="B29" s="10" t="s">
        <v>324</v>
      </c>
      <c r="C29" s="10" t="s">
        <v>300</v>
      </c>
      <c r="D29" s="10">
        <v>2</v>
      </c>
      <c r="E29" s="15">
        <f>IFERROR(INDEX('All Runs'!$O$2:$O$177,MATCH("anonq_nopre_meancos_p1024_s2|S1000D_spec_sample",'All Runs'!$A$2:$A$177,0)),"n/a")</f>
        <v>0.80555555555555602</v>
      </c>
      <c r="F29" s="15">
        <f>IFERROR(INDEX('All Runs'!$N$2:$N$177,MATCH("anonq_nopre_meancos_p1024_s2|S1000D_spec_sample",'All Runs'!$A$2:$A$177,0)),"n/a")</f>
        <v>0.83928571428571397</v>
      </c>
    </row>
    <row r="31" spans="1:10" x14ac:dyDescent="0.2">
      <c r="A31" s="5" t="s">
        <v>552</v>
      </c>
    </row>
    <row r="32" spans="1:10" ht="42" x14ac:dyDescent="0.2">
      <c r="A32" s="8" t="s">
        <v>82</v>
      </c>
      <c r="B32" s="8" t="s">
        <v>553</v>
      </c>
      <c r="C32" s="8" t="s">
        <v>554</v>
      </c>
      <c r="D32" s="8" t="s">
        <v>555</v>
      </c>
      <c r="E32" s="8" t="s">
        <v>556</v>
      </c>
      <c r="F32" s="8" t="s">
        <v>557</v>
      </c>
      <c r="G32" s="8" t="s">
        <v>555</v>
      </c>
      <c r="H32" s="8" t="s">
        <v>558</v>
      </c>
    </row>
    <row r="33" spans="1:8" x14ac:dyDescent="0.2">
      <c r="A33" s="6" t="s">
        <v>97</v>
      </c>
      <c r="B33" s="15">
        <f>AVERAGE(E11:G11,E12:G12,E13:G13)</f>
        <v>0.91657848324514979</v>
      </c>
      <c r="C33" s="15">
        <f>STDEV(E11:G11,E12:G12,E13:G13)</f>
        <v>5.9114258304062729E-2</v>
      </c>
      <c r="D33" s="10">
        <f>COUNT(E11:G11,E12:G12,E13:G13)</f>
        <v>9</v>
      </c>
      <c r="E33" s="15">
        <f>AVERAGE(E22:E26)</f>
        <v>0.94047619047619035</v>
      </c>
      <c r="F33" s="15">
        <f>STDEV(E22:E26)</f>
        <v>4.1239304942115966E-2</v>
      </c>
      <c r="G33" s="10">
        <f>COUNT(E22:E26)</f>
        <v>5</v>
      </c>
      <c r="H33" s="22">
        <f>B33-E33</f>
        <v>-2.3897707231040566E-2</v>
      </c>
    </row>
    <row r="34" spans="1:8" x14ac:dyDescent="0.2">
      <c r="A34" s="6" t="s">
        <v>300</v>
      </c>
      <c r="B34" s="15">
        <f>AVERAGE(E16:G16,E17:G17,E18:G18)</f>
        <v>0.86613756613756598</v>
      </c>
      <c r="C34" s="15">
        <f>STDEV(E16:G16,E17:G17,E18:G18)</f>
        <v>4.7716500809295417E-2</v>
      </c>
      <c r="D34" s="10">
        <f>COUNT(E16:G16,E17:G17,E18:G18)</f>
        <v>9</v>
      </c>
      <c r="E34" s="15">
        <f>AVERAGE(E27:E29)</f>
        <v>0.84523809523809534</v>
      </c>
      <c r="F34" s="15">
        <f>STDEV(E27:E29)</f>
        <v>5.2495065695726026E-2</v>
      </c>
      <c r="G34" s="10">
        <f>COUNT(E27:E29)</f>
        <v>3</v>
      </c>
      <c r="H34" s="22">
        <f>B34-E34</f>
        <v>2.089947089947064E-2</v>
      </c>
    </row>
    <row r="35" spans="1:8" x14ac:dyDescent="0.2">
      <c r="A35" s="18" t="s">
        <v>559</v>
      </c>
    </row>
    <row r="37" spans="1:8" x14ac:dyDescent="0.2">
      <c r="A37" s="5" t="s">
        <v>560</v>
      </c>
    </row>
    <row r="38" spans="1:8" ht="56" x14ac:dyDescent="0.2">
      <c r="A38" s="8" t="s">
        <v>561</v>
      </c>
      <c r="B38" s="8" t="s">
        <v>562</v>
      </c>
      <c r="C38" s="8" t="s">
        <v>563</v>
      </c>
      <c r="D38" s="8" t="s">
        <v>564</v>
      </c>
    </row>
    <row r="39" spans="1:8" x14ac:dyDescent="0.2">
      <c r="A39" s="10" t="s">
        <v>565</v>
      </c>
      <c r="B39" s="15">
        <f>H11</f>
        <v>0.92645502645502642</v>
      </c>
      <c r="C39" s="15">
        <f>H14</f>
        <v>0.88624338624338639</v>
      </c>
      <c r="D39" s="22">
        <f>C39-B39</f>
        <v>-4.0211640211640032E-2</v>
      </c>
    </row>
    <row r="40" spans="1:8" x14ac:dyDescent="0.2">
      <c r="A40" s="10" t="s">
        <v>566</v>
      </c>
      <c r="B40" s="15">
        <f>H11</f>
        <v>0.92645502645502642</v>
      </c>
      <c r="C40" s="15">
        <f>H15</f>
        <v>0.89153439153439129</v>
      </c>
      <c r="D40" s="22">
        <f>C40-B40</f>
        <v>-3.492063492063513E-2</v>
      </c>
    </row>
    <row r="41" spans="1:8" x14ac:dyDescent="0.2">
      <c r="A41" s="10" t="s">
        <v>567</v>
      </c>
      <c r="B41" s="15">
        <f>H11</f>
        <v>0.92645502645502642</v>
      </c>
      <c r="C41" s="15">
        <f>H9</f>
        <v>0.87475434618291803</v>
      </c>
      <c r="D41" s="22">
        <f>C41-B41</f>
        <v>-5.170068027210839E-2</v>
      </c>
    </row>
    <row r="42" spans="1:8" x14ac:dyDescent="0.2">
      <c r="A42" s="10" t="s">
        <v>568</v>
      </c>
      <c r="B42" s="15">
        <f>H11</f>
        <v>0.92645502645502642</v>
      </c>
      <c r="C42" s="15">
        <f>H10</f>
        <v>0.55965608465608463</v>
      </c>
      <c r="D42" s="22">
        <f>C42-B42</f>
        <v>-0.36679894179894179</v>
      </c>
    </row>
    <row r="43" spans="1:8" x14ac:dyDescent="0.2">
      <c r="A43" s="10" t="s">
        <v>569</v>
      </c>
      <c r="B43" s="15">
        <f>H11</f>
        <v>0.92645502645502642</v>
      </c>
      <c r="C43" s="15">
        <f>H8</f>
        <v>0.17562880398277733</v>
      </c>
      <c r="D43" s="22">
        <f>C43-B43</f>
        <v>-0.75082622247224906</v>
      </c>
    </row>
  </sheetData>
  <phoneticPr fontId="8" type="noConversion"/>
  <conditionalFormatting sqref="E5:H18">
    <cfRule type="cellIs" dxfId="3" priority="2" operator="lessThan">
      <formula>0.2</formula>
    </cfRule>
    <cfRule type="cellIs" dxfId="2" priority="3" operator="greaterThan">
      <formula>0.85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tabSelected="1" zoomScaleNormal="100" workbookViewId="0"/>
  </sheetViews>
  <sheetFormatPr baseColWidth="10" defaultColWidth="8.5" defaultRowHeight="15" x14ac:dyDescent="0.2"/>
  <cols>
    <col min="1" max="1" width="18" customWidth="1"/>
    <col min="2" max="2" width="6" customWidth="1"/>
    <col min="3" max="3" width="20" customWidth="1"/>
    <col min="4" max="5" width="11" customWidth="1"/>
    <col min="6" max="7" width="15" customWidth="1"/>
    <col min="8" max="9" width="11" customWidth="1"/>
    <col min="10" max="10" width="10" customWidth="1"/>
    <col min="11" max="12" width="13" customWidth="1"/>
    <col min="13" max="14" width="15" customWidth="1"/>
  </cols>
  <sheetData>
    <row r="1" spans="1:14" ht="18" x14ac:dyDescent="0.2">
      <c r="A1" s="4" t="s">
        <v>570</v>
      </c>
    </row>
    <row r="2" spans="1:14" x14ac:dyDescent="0.2">
      <c r="A2" s="18" t="s">
        <v>571</v>
      </c>
    </row>
    <row r="4" spans="1:14" ht="28" x14ac:dyDescent="0.2">
      <c r="A4" s="8" t="s">
        <v>572</v>
      </c>
      <c r="B4" s="8" t="s">
        <v>76</v>
      </c>
      <c r="C4" s="8" t="s">
        <v>75</v>
      </c>
      <c r="D4" s="8" t="s">
        <v>573</v>
      </c>
      <c r="E4" s="8" t="s">
        <v>574</v>
      </c>
      <c r="F4" s="8" t="s">
        <v>575</v>
      </c>
      <c r="G4" s="8" t="s">
        <v>576</v>
      </c>
      <c r="H4" s="8" t="s">
        <v>577</v>
      </c>
      <c r="I4" s="8" t="s">
        <v>578</v>
      </c>
      <c r="J4" s="8" t="s">
        <v>579</v>
      </c>
      <c r="K4" s="8" t="s">
        <v>580</v>
      </c>
      <c r="L4" s="8" t="s">
        <v>581</v>
      </c>
      <c r="M4" s="8" t="s">
        <v>582</v>
      </c>
      <c r="N4" s="8" t="s">
        <v>583</v>
      </c>
    </row>
    <row r="5" spans="1:14" x14ac:dyDescent="0.2">
      <c r="A5" s="10" t="s">
        <v>584</v>
      </c>
      <c r="B5" s="10">
        <v>42</v>
      </c>
      <c r="C5" s="10" t="s">
        <v>426</v>
      </c>
      <c r="D5" s="15">
        <f>IFERROR(INDEX('All Runs'!$O$2:$O$177,MATCH("samedomain_s42|finetuneA_only",'All Runs'!$A$2:$A$177,0)),"n/a")</f>
        <v>0.805744520030234</v>
      </c>
      <c r="E5" s="15">
        <f>IFERROR(INDEX('All Runs'!$O$2:$O$177,MATCH("samedomain_s42|finetuneB_only",'All Runs'!$A$2:$A$177,0)),"n/a")</f>
        <v>0.86309523809523803</v>
      </c>
      <c r="F5" s="15">
        <f>IFERROR(INDEX('All Runs'!$O$2:$O$177,MATCH("samedomain_s42|pretrainB_finetuneA",'All Runs'!$A$2:$A$177,0)),"n/a")</f>
        <v>0.93650793650793696</v>
      </c>
      <c r="G5" s="15">
        <f>IFERROR(INDEX('All Runs'!$O$2:$O$177,MATCH("samedomain_s42|pretrainA_finetuneB",'All Runs'!$A$2:$A$177,0)),"n/a")</f>
        <v>0.89880952380952395</v>
      </c>
      <c r="H5" s="16">
        <f t="shared" ref="H5:I8" si="0">F5-D5</f>
        <v>0.13076341647770295</v>
      </c>
      <c r="I5" s="16">
        <f t="shared" si="0"/>
        <v>3.571428571428592E-2</v>
      </c>
      <c r="J5" s="19" t="str">
        <f>IF(D5&lt;E5,"A",IF(D5&gt;E5,"B","tie"))</f>
        <v>A</v>
      </c>
      <c r="K5" s="22">
        <f>IF(J5="B",I5,IF(J5="A",H5,"n/a"))</f>
        <v>0.13076341647770295</v>
      </c>
      <c r="L5" s="22">
        <f>IF(J5="B",H5,IF(J5="A",I5,"n/a"))</f>
        <v>3.571428571428592E-2</v>
      </c>
      <c r="M5" s="15">
        <f>IFERROR(INDEX('All Runs'!$M$2:$M$177,MATCH("samedomain_s42|pretrainA_finetuneB",'All Runs'!$A$2:$A$177,0)),"n/a")</f>
        <v>0.39546049188906301</v>
      </c>
      <c r="N5" s="15">
        <f>IFERROR(INDEX('All Runs'!$M$2:$M$177,MATCH("samedomain_s42|pretrainB_finetuneA",'All Runs'!$A$2:$A$177,0)),"n/a")</f>
        <v>0.49166666666666697</v>
      </c>
    </row>
    <row r="6" spans="1:14" x14ac:dyDescent="0.2">
      <c r="A6" s="10" t="s">
        <v>584</v>
      </c>
      <c r="B6" s="10">
        <v>1</v>
      </c>
      <c r="C6" s="10" t="s">
        <v>407</v>
      </c>
      <c r="D6" s="15">
        <f>IFERROR(INDEX('All Runs'!$O$2:$O$177,MATCH("samedomain_s1|finetuneA_only",'All Runs'!$A$2:$A$177,0)),"n/a")</f>
        <v>0.80045351473922899</v>
      </c>
      <c r="E6" s="15">
        <f>IFERROR(INDEX('All Runs'!$O$2:$O$177,MATCH("samedomain_s1|finetuneB_only",'All Runs'!$A$2:$A$177,0)),"n/a")</f>
        <v>0.83775510204081605</v>
      </c>
      <c r="F6" s="15">
        <f>IFERROR(INDEX('All Runs'!$O$2:$O$177,MATCH("samedomain_s1|pretrainB_finetuneA",'All Runs'!$A$2:$A$177,0)),"n/a")</f>
        <v>0.91156462585034004</v>
      </c>
      <c r="G6" s="15">
        <f>IFERROR(INDEX('All Runs'!$O$2:$O$177,MATCH("samedomain_s1|pretrainA_finetuneB",'All Runs'!$A$2:$A$177,0)),"n/a")</f>
        <v>0.82023809523809499</v>
      </c>
      <c r="H6" s="16">
        <f t="shared" si="0"/>
        <v>0.11111111111111105</v>
      </c>
      <c r="I6" s="16">
        <f t="shared" si="0"/>
        <v>-1.7517006802721058E-2</v>
      </c>
      <c r="J6" s="19" t="str">
        <f>IF(D6&lt;E6,"A",IF(D6&gt;E6,"B","tie"))</f>
        <v>A</v>
      </c>
      <c r="K6" s="22">
        <f>IF(J6="B",I6,IF(J6="A",H6,"n/a"))</f>
        <v>0.11111111111111105</v>
      </c>
      <c r="L6" s="22">
        <f>IF(J6="B",H6,IF(J6="A",I6,"n/a"))</f>
        <v>-1.7517006802721058E-2</v>
      </c>
      <c r="M6" s="15">
        <f>IFERROR(INDEX('All Runs'!$M$2:$M$177,MATCH("samedomain_s1|pretrainA_finetuneB",'All Runs'!$A$2:$A$177,0)),"n/a")</f>
        <v>0.36285975928833097</v>
      </c>
      <c r="N6" s="15">
        <f>IFERROR(INDEX('All Runs'!$M$2:$M$177,MATCH("samedomain_s1|pretrainB_finetuneA",'All Runs'!$A$2:$A$177,0)),"n/a")</f>
        <v>0.50674603174603206</v>
      </c>
    </row>
    <row r="7" spans="1:14" x14ac:dyDescent="0.2">
      <c r="A7" s="10" t="s">
        <v>584</v>
      </c>
      <c r="B7" s="10">
        <v>2</v>
      </c>
      <c r="C7" s="10" t="s">
        <v>417</v>
      </c>
      <c r="D7" s="15">
        <f>IFERROR(INDEX('All Runs'!$O$2:$O$177,MATCH("samedomain_s2|finetuneA_only",'All Runs'!$A$2:$A$177,0)),"n/a")</f>
        <v>0.79931972789115702</v>
      </c>
      <c r="E7" s="15">
        <f>IFERROR(INDEX('All Runs'!$O$2:$O$177,MATCH("samedomain_s2|finetuneB_only",'All Runs'!$A$2:$A$177,0)),"n/a")</f>
        <v>0.79931972789115702</v>
      </c>
      <c r="F7" s="15">
        <f>IFERROR(INDEX('All Runs'!$O$2:$O$177,MATCH("samedomain_s2|pretrainB_finetuneA",'All Runs'!$A$2:$A$177,0)),"n/a")</f>
        <v>0.85873015873015901</v>
      </c>
      <c r="G7" s="15">
        <f>IFERROR(INDEX('All Runs'!$O$2:$O$177,MATCH("samedomain_s2|pretrainA_finetuneB",'All Runs'!$A$2:$A$177,0)),"n/a")</f>
        <v>0.84070294784580502</v>
      </c>
      <c r="H7" s="16">
        <f t="shared" si="0"/>
        <v>5.9410430839001993E-2</v>
      </c>
      <c r="I7" s="16">
        <f t="shared" si="0"/>
        <v>4.1383219954647998E-2</v>
      </c>
      <c r="J7" s="19" t="str">
        <f>IF(D7&lt;E7,"A",IF(D7&gt;E7,"B","tie"))</f>
        <v>tie</v>
      </c>
      <c r="K7" s="22" t="str">
        <f>IF(J7="B",I7,IF(J7="A",H7,"n/a"))</f>
        <v>n/a</v>
      </c>
      <c r="L7" s="22" t="str">
        <f>IF(J7="B",H7,IF(J7="A",I7,"n/a"))</f>
        <v>n/a</v>
      </c>
      <c r="M7" s="15">
        <f>IFERROR(INDEX('All Runs'!$M$2:$M$177,MATCH("samedomain_s2|pretrainA_finetuneB",'All Runs'!$A$2:$A$177,0)),"n/a")</f>
        <v>0.39478021978021999</v>
      </c>
      <c r="N7" s="15">
        <f>IFERROR(INDEX('All Runs'!$M$2:$M$177,MATCH("samedomain_s2|pretrainB_finetuneA",'All Runs'!$A$2:$A$177,0)),"n/a")</f>
        <v>0.453656462585034</v>
      </c>
    </row>
    <row r="8" spans="1:14" x14ac:dyDescent="0.2">
      <c r="A8" s="10" t="s">
        <v>585</v>
      </c>
      <c r="B8" s="10">
        <v>42</v>
      </c>
      <c r="C8" s="10" t="s">
        <v>395</v>
      </c>
      <c r="D8" s="15">
        <f>IFERROR(INDEX('All Runs'!$O$2:$O$177,MATCH("samedomain_alt_s42|finetuneA_only",'All Runs'!$A$2:$A$177,0)),"n/a")</f>
        <v>0.78656462585034004</v>
      </c>
      <c r="E8" s="15">
        <f>IFERROR(INDEX('All Runs'!$O$2:$O$177,MATCH("samedomain_alt_s42|finetuneB_only",'All Runs'!$A$2:$A$177,0)),"n/a")</f>
        <v>0.84391534391534395</v>
      </c>
      <c r="F8" s="15">
        <f>IFERROR(INDEX('All Runs'!$O$2:$O$177,MATCH("samedomain_alt_s42|pretrainB_finetuneA",'All Runs'!$A$2:$A$177,0)),"n/a")</f>
        <v>0.85</v>
      </c>
      <c r="G8" s="15">
        <f>IFERROR(INDEX('All Runs'!$O$2:$O$177,MATCH("samedomain_alt_s42|pretrainA_finetuneB",'All Runs'!$A$2:$A$177,0)),"n/a")</f>
        <v>0.85714285714285698</v>
      </c>
      <c r="H8" s="16">
        <f t="shared" si="0"/>
        <v>6.343537414965994E-2</v>
      </c>
      <c r="I8" s="16">
        <f t="shared" si="0"/>
        <v>1.3227513227513032E-2</v>
      </c>
      <c r="J8" s="19" t="str">
        <f>IF(D8&lt;E8,"A",IF(D8&gt;E8,"B","tie"))</f>
        <v>A</v>
      </c>
      <c r="K8" s="22">
        <f>IF(J8="B",I8,IF(J8="A",H8,"n/a"))</f>
        <v>6.343537414965994E-2</v>
      </c>
      <c r="L8" s="22">
        <f>IF(J8="B",H8,IF(J8="A",I8,"n/a"))</f>
        <v>1.3227513227513032E-2</v>
      </c>
      <c r="M8" s="15">
        <f>IFERROR(INDEX('All Runs'!$M$2:$M$177,MATCH("samedomain_alt_s42|pretrainA_finetuneB",'All Runs'!$A$2:$A$177,0)),"n/a")</f>
        <v>0.46312615955473102</v>
      </c>
      <c r="N8" s="15">
        <f>IFERROR(INDEX('All Runs'!$M$2:$M$177,MATCH("samedomain_alt_s42|pretrainB_finetuneA",'All Runs'!$A$2:$A$177,0)),"n/a")</f>
        <v>0.68214285714285705</v>
      </c>
    </row>
    <row r="9" spans="1:14" x14ac:dyDescent="0.2">
      <c r="C9" s="6" t="s">
        <v>586</v>
      </c>
      <c r="D9" s="21">
        <f t="shared" ref="D9:I9" si="1">AVERAGE(D5:D8)</f>
        <v>0.79802059712773987</v>
      </c>
      <c r="E9" s="21">
        <f t="shared" si="1"/>
        <v>0.83602135298563884</v>
      </c>
      <c r="F9" s="21">
        <f t="shared" si="1"/>
        <v>0.88920068027210897</v>
      </c>
      <c r="G9" s="21">
        <f t="shared" si="1"/>
        <v>0.85422335600907018</v>
      </c>
      <c r="H9" s="22">
        <f t="shared" si="1"/>
        <v>9.1180083144368984E-2</v>
      </c>
      <c r="I9" s="22">
        <f t="shared" si="1"/>
        <v>1.8202003023431473E-2</v>
      </c>
      <c r="K9" s="22">
        <f>AVERAGE(K5:K8)</f>
        <v>0.10176996724615799</v>
      </c>
      <c r="L9" s="22">
        <f>AVERAGE(L5:L8)</f>
        <v>1.0474930713025965E-2</v>
      </c>
      <c r="M9" s="21">
        <f>AVERAGE(M5:M8)</f>
        <v>0.40405665762808629</v>
      </c>
      <c r="N9" s="21">
        <f>AVERAGE(N5:N8)</f>
        <v>0.53355300453514753</v>
      </c>
    </row>
    <row r="10" spans="1:14" x14ac:dyDescent="0.2">
      <c r="C10" s="6" t="s">
        <v>587</v>
      </c>
      <c r="D10" s="15">
        <f t="shared" ref="D10:I10" si="2">MIN(D5:D8)</f>
        <v>0.78656462585034004</v>
      </c>
      <c r="E10" s="15">
        <f t="shared" si="2"/>
        <v>0.79931972789115702</v>
      </c>
      <c r="F10" s="15">
        <f t="shared" si="2"/>
        <v>0.85</v>
      </c>
      <c r="G10" s="15">
        <f t="shared" si="2"/>
        <v>0.82023809523809499</v>
      </c>
      <c r="H10" s="16">
        <f t="shared" si="2"/>
        <v>5.9410430839001993E-2</v>
      </c>
      <c r="I10" s="16">
        <f t="shared" si="2"/>
        <v>-1.7517006802721058E-2</v>
      </c>
      <c r="K10" s="16">
        <f>MIN(K5:K8)</f>
        <v>6.343537414965994E-2</v>
      </c>
      <c r="L10" s="16">
        <f>MIN(L5:L8)</f>
        <v>-1.7517006802721058E-2</v>
      </c>
      <c r="M10" s="15">
        <f>MIN(M5:M8)</f>
        <v>0.36285975928833097</v>
      </c>
      <c r="N10" s="15">
        <f>MIN(N5:N8)</f>
        <v>0.453656462585034</v>
      </c>
    </row>
    <row r="11" spans="1:14" x14ac:dyDescent="0.2">
      <c r="C11" s="6" t="s">
        <v>588</v>
      </c>
      <c r="H11" s="10" t="str">
        <f>COUNTIF(H5:H8,"&gt;0")&amp;" / "&amp;COUNT(H5:H8)</f>
        <v>4 / 4</v>
      </c>
      <c r="I11" s="10" t="str">
        <f>COUNTIF(I5:I8,"&gt;0")&amp;" / "&amp;COUNT(I5:I8)</f>
        <v>3 / 4</v>
      </c>
      <c r="K11" s="10" t="str">
        <f>COUNTIF(K5:K8,"&gt;0")&amp;" / "&amp;COUNT(K5:K8)</f>
        <v>3 / 3</v>
      </c>
      <c r="L11" s="10" t="str">
        <f>COUNTIF(L5:L8,"&gt;0")&amp;" / "&amp;COUNT(L5:L8)</f>
        <v>2 / 3</v>
      </c>
    </row>
    <row r="13" spans="1:14" x14ac:dyDescent="0.2">
      <c r="A13" s="18" t="s">
        <v>589</v>
      </c>
    </row>
    <row r="14" spans="1:14" x14ac:dyDescent="0.2">
      <c r="A14" s="18" t="s">
        <v>590</v>
      </c>
    </row>
  </sheetData>
  <phoneticPr fontId="8" type="noConversion"/>
  <conditionalFormatting sqref="H5:L8">
    <cfRule type="cellIs" dxfId="1" priority="2" operator="greaterThan">
      <formula>0.05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All Runs</vt:lpstr>
      <vt:lpstr>12-pair Grids</vt:lpstr>
      <vt:lpstr>S1000D Target</vt:lpstr>
      <vt:lpstr>Same Domain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Hung, Cindy</cp:lastModifiedBy>
  <cp:revision>0</cp:revision>
  <dcterms:created xsi:type="dcterms:W3CDTF">2026-09-23T16:51:31Z</dcterms:created>
  <dcterms:modified xsi:type="dcterms:W3CDTF">2026-09-23T18:42:37Z</dcterms:modified>
  <dc:language>en-US</dc:language>
</cp:coreProperties>
</file>